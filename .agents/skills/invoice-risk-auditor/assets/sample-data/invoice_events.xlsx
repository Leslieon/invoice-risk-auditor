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6d258ab29794ce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清洗说明" sheetId="1" r:id="Rfb646410bd9c45c4"/>
    <x:sheet xmlns:r="http://schemas.openxmlformats.org/officeDocument/2006/relationships" name="历史交易明细" sheetId="2" r:id="R168b49f54ad74080"/>
    <x:sheet xmlns:r="http://schemas.openxmlformats.org/officeDocument/2006/relationships" name="开票事件日志" sheetId="3" r:id="R3c1f5b3374764efc"/>
    <x:sheet xmlns:r="http://schemas.openxmlformats.org/officeDocument/2006/relationships" name="待检测发票" sheetId="4" r:id="R66632533ec5a43c2"/>
    <x:sheet xmlns:r="http://schemas.openxmlformats.org/officeDocument/2006/relationships" name="标准答案" sheetId="5" r:id="R9e30e2524a9a4291"/>
    <x:sheet xmlns:r="http://schemas.openxmlformats.org/officeDocument/2006/relationships" name="供应商汇总" sheetId="6" r:id="Rca69b250368a4641"/>
    <x:sheet xmlns:r="http://schemas.openxmlformats.org/officeDocument/2006/relationships" name="规则定义" sheetId="7" r:id="Rf606528740874b0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yyyy-mm-dd"/>
    <x:numFmt numFmtId="201" formatCode="¥#,##0.00"/>
    <x:numFmt numFmtId="202" formatCode="0%"/>
    <x:numFmt numFmtId="203" formatCode="0"/>
  </x:numFmts>
  <x:fonts count="7">
    <x:font>
      <x:sz val="11"/>
      <x:name val="Carlito"/>
    </x:font>
    <x:font>
      <x:b/>
      <x:sz val="20"/>
      <x:color rgb="FFFFFFFF"/>
      <x:name val="Carlito"/>
    </x:font>
    <x:font>
      <x:b/>
      <x:sz val="11"/>
      <x:color rgb="FF0F766E"/>
      <x:name val="Carlito"/>
    </x:font>
    <x:font>
      <x:b/>
      <x:sz val="11"/>
      <x:color rgb="FF16324F"/>
      <x:name val="Carlito"/>
    </x:font>
    <x:font>
      <x:b/>
      <x:sz val="11"/>
      <x:color rgb="FFFFFFFF"/>
      <x:name val="Carlito"/>
    </x:font>
    <x:font>
      <x:sz val="11"/>
      <x:color rgb="FF16324F"/>
      <x:name val="Carlito"/>
    </x:font>
    <x:font>
      <x:sz val="11"/>
      <x:color rgb="FF1F2937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6324F"/>
      </x:patternFill>
    </x:fill>
    <x:fill>
      <x:patternFill patternType="solid">
        <x:fgColor rgb="FFDFF3EF"/>
      </x:patternFill>
    </x:fill>
    <x:fill>
      <x:patternFill patternType="solid">
        <x:fgColor rgb="FFF4F6F8"/>
      </x:patternFill>
    </x:fill>
    <x:fill>
      <x:patternFill patternType="solid">
        <x:fgColor rgb="FF0F766E"/>
      </x:patternFill>
    </x:fill>
    <x:fill>
      <x:patternFill patternType="solid">
        <x:fgColor rgb="FFE8F0FA"/>
      </x:patternFill>
    </x:fill>
  </x:fills>
  <x:borders count="10">
    <x:border/>
    <x:border>
      <x:bottom style="thin">
        <x:color rgb="FFD0D5DD"/>
      </x:bottom>
    </x:border>
    <x:border>
      <x:top style="thin">
        <x:color rgb="FFD0D5DD"/>
      </x:top>
      <x:bottom style="thin">
        <x:color rgb="FFD0D5DD"/>
      </x:bottom>
    </x:border>
    <x:border>
      <x:top style="thin">
        <x:color rgb="FFD0D5DD"/>
      </x:top>
    </x:border>
    <x:border>
      <x:left style="thin">
        <x:color rgb="FF16324F"/>
      </x:left>
      <x:top style="thin">
        <x:color rgb="FF16324F"/>
      </x:top>
      <x:bottom style="thin">
        <x:color rgb="FF16324F"/>
      </x:bottom>
    </x:border>
    <x:border>
      <x:top style="thin">
        <x:color rgb="FF16324F"/>
      </x:top>
      <x:bottom style="thin">
        <x:color rgb="FF16324F"/>
      </x:bottom>
    </x:border>
    <x:border>
      <x:right style="thin">
        <x:color rgb="FF16324F"/>
      </x:right>
      <x:top style="thin">
        <x:color rgb="FF16324F"/>
      </x:top>
      <x:bottom style="thin">
        <x:color rgb="FF16324F"/>
      </x:bottom>
    </x:border>
    <x:border>
      <x:bottom style="thin">
        <x:color rgb="FFE5E7EB"/>
      </x:bottom>
    </x:border>
    <x:border>
      <x:top style="thin">
        <x:color rgb="FFE5E7EB"/>
      </x:top>
      <x:bottom style="thin">
        <x:color rgb="FFE5E7EB"/>
      </x:bottom>
    </x:border>
    <x:border>
      <x:top style="thin">
        <x:color rgb="FFE5E7EB"/>
      </x:top>
    </x:border>
  </x:borders>
  <x:cellStyleXfs count="1">
    <x:xf numFmtId="0" fontId="0" fillId="0" borderId="0"/>
  </x:cellStyleXfs>
  <x:cellXfs count="7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right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horizontal="center"/>
    </x:xf>
    <x:xf numFmtId="0" fontId="3" fillId="0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2" fillId="0" borderId="1" xfId="0" applyNumberFormat="1" applyFont="1" applyFill="1" applyBorder="1" applyAlignment="1">
      <x:alignment horizontal="center"/>
    </x:xf>
    <x:xf numFmtId="0" fontId="3" fillId="0" borderId="1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  <x:xf numFmtId="0" fontId="2" fillId="0" borderId="2" xfId="0" applyNumberFormat="1" applyFont="1" applyFill="1" applyBorder="1" applyAlignment="1">
      <x:alignment horizontal="center"/>
    </x:xf>
    <x:xf numFmtId="0" fontId="3" fillId="0" borderId="2" xfId="0" applyNumberFormat="1" applyFont="1" applyFill="1" applyBorder="1"/>
    <x:xf numFmtId="0" fontId="0" fillId="0" borderId="2" xfId="0" applyNumberFormat="1" applyFont="1" applyFill="1" applyBorder="1" applyAlignment="1">
      <x:alignment wrapText="1"/>
    </x:xf>
    <x:xf numFmtId="0" fontId="2" fillId="0" borderId="3" xfId="0" applyNumberFormat="1" applyFont="1" applyFill="1" applyBorder="1" applyAlignment="1">
      <x:alignment horizontal="center"/>
    </x:xf>
    <x:xf numFmtId="0" fontId="3" fillId="0" borderId="3" xfId="0" applyNumberFormat="1" applyFont="1" applyFill="1" applyBorder="1"/>
    <x:xf numFmtId="0" fontId="0" fillId="0" borderId="3" xfId="0" applyNumberFormat="1" applyFont="1" applyFill="1" applyBorder="1" applyAlignment="1">
      <x:alignment wrapText="1"/>
    </x:xf>
    <x:xf numFmtId="0" fontId="4" fillId="2" borderId="0" xfId="0" applyNumberFormat="1" applyFont="1" applyFill="1" applyBorder="1"/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0" xfId="0" applyNumberFormat="1" applyFont="1" applyFill="1" applyBorder="1" applyAlignment="1">
      <x:alignment wrapText="1"/>
    </x:xf>
    <x:xf numFmtId="0" fontId="4" fillId="2" borderId="4" xfId="0" applyNumberFormat="1" applyFont="1" applyFill="1" applyBorder="1"/>
    <x:xf numFmtId="0" fontId="4" fillId="2" borderId="5" xfId="0" applyNumberFormat="1" applyFont="1" applyFill="1" applyBorder="1"/>
    <x:xf numFmtId="0" fontId="4" fillId="2" borderId="6" xfId="0" applyNumberFormat="1" applyFont="1" applyFill="1" applyBorder="1"/>
    <x:xf numFmtId="0" fontId="4" fillId="2" borderId="4" xfId="0" applyNumberFormat="1" applyFont="1" applyFill="1" applyBorder="1" applyAlignment="1">
      <x:alignment wrapText="1"/>
    </x:xf>
    <x:xf numFmtId="0" fontId="4" fillId="2" borderId="5" xfId="0" applyNumberFormat="1" applyFont="1" applyFill="1" applyBorder="1" applyAlignment="1">
      <x:alignment wrapText="1"/>
    </x:xf>
    <x:xf numFmtId="0" fontId="4" fillId="2" borderId="6" xfId="0" applyNumberFormat="1" applyFont="1" applyFill="1" applyBorder="1" applyAlignment="1">
      <x:alignment wrapText="1"/>
    </x:xf>
    <x:xf numFmtId="0" fontId="4" fillId="2" borderId="4" xfId="0" applyNumberFormat="1" applyFont="1" applyFill="1" applyBorder="1" applyAlignment="1">
      <x:alignment horizontal="center" wrapText="1"/>
    </x:xf>
    <x:xf numFmtId="0" fontId="4" fillId="2" borderId="5" xfId="0" applyNumberFormat="1" applyFont="1" applyFill="1" applyBorder="1" applyAlignment="1">
      <x:alignment horizontal="center" wrapText="1"/>
    </x:xf>
    <x:xf numFmtId="0" fontId="4" fillId="2" borderId="6" xfId="0" applyNumberFormat="1" applyFont="1" applyFill="1" applyBorder="1" applyAlignment="1">
      <x:alignment horizontal="center" wrapText="1"/>
    </x:xf>
    <x:xf numFmtId="0" fontId="4" fillId="2" borderId="4" xfId="0" applyNumberFormat="1" applyFont="1" applyFill="1" applyBorder="1" applyAlignment="1">
      <x:alignment horizontal="center" vertical="center" wrapText="1"/>
    </x:xf>
    <x:xf numFmtId="0" fontId="4" fillId="2" borderId="5" xfId="0" applyNumberFormat="1" applyFont="1" applyFill="1" applyBorder="1" applyAlignment="1">
      <x:alignment horizontal="center" vertical="center" wrapText="1"/>
    </x:xf>
    <x:xf numFmtId="0" fontId="4" fillId="2" borderId="6" xfId="0" applyNumberFormat="1" applyFont="1" applyFill="1" applyBorder="1" applyAlignment="1">
      <x:alignment horizontal="center" vertical="center" wrapText="1"/>
    </x:xf>
    <x:xf numFmtId="0" fontId="6" fillId="0" borderId="0" xfId="0" applyNumberFormat="1" applyFont="1" applyFill="1" applyBorder="1"/>
    <x:xf numFmtId="0" fontId="6" fillId="0" borderId="7" xfId="0" applyNumberFormat="1" applyFont="1" applyFill="1" applyBorder="1"/>
    <x:xf numFmtId="0" fontId="6" fillId="0" borderId="8" xfId="0" applyNumberFormat="1" applyFont="1" applyFill="1" applyBorder="1"/>
    <x:xf numFmtId="0" fontId="6" fillId="0" borderId="9" xfId="0" applyNumberFormat="1" applyFont="1" applyFill="1" applyBorder="1"/>
    <x:xf numFmtId="0" fontId="6" fillId="0" borderId="7" xfId="0" applyNumberFormat="1" applyFont="1" applyFill="1" applyBorder="1" applyAlignment="1">
      <x:alignment vertical="center"/>
    </x:xf>
    <x:xf numFmtId="0" fontId="6" fillId="0" borderId="8" xfId="0" applyNumberFormat="1" applyFont="1" applyFill="1" applyBorder="1" applyAlignment="1">
      <x:alignment vertical="center"/>
    </x:xf>
    <x:xf numFmtId="0" fontId="6" fillId="0" borderId="9" xfId="0" applyNumberFormat="1" applyFont="1" applyFill="1" applyBorder="1" applyAlignment="1">
      <x:alignment vertical="center"/>
    </x:xf>
    <x:xf numFmtId="200" fontId="6" fillId="0" borderId="7" xfId="0" applyNumberFormat="1" applyFont="1" applyFill="1" applyBorder="1" applyAlignment="1">
      <x:alignment vertical="center"/>
    </x:xf>
    <x:xf numFmtId="200" fontId="6" fillId="0" borderId="8" xfId="0" applyNumberFormat="1" applyFont="1" applyFill="1" applyBorder="1" applyAlignment="1">
      <x:alignment vertical="center"/>
    </x:xf>
    <x:xf numFmtId="200" fontId="6" fillId="0" borderId="9" xfId="0" applyNumberFormat="1" applyFont="1" applyFill="1" applyBorder="1" applyAlignment="1">
      <x:alignment vertical="center"/>
    </x:xf>
    <x:xf numFmtId="201" fontId="6" fillId="0" borderId="7" xfId="0" applyNumberFormat="1" applyFont="1" applyFill="1" applyBorder="1" applyAlignment="1">
      <x:alignment vertical="center"/>
    </x:xf>
    <x:xf numFmtId="201" fontId="6" fillId="0" borderId="8" xfId="0" applyNumberFormat="1" applyFont="1" applyFill="1" applyBorder="1" applyAlignment="1">
      <x:alignment vertical="center"/>
    </x:xf>
    <x:xf numFmtId="201" fontId="6" fillId="0" borderId="9" xfId="0" applyNumberFormat="1" applyFont="1" applyFill="1" applyBorder="1" applyAlignment="1">
      <x:alignment vertical="center"/>
    </x:xf>
    <x:xf numFmtId="202" fontId="6" fillId="0" borderId="7" xfId="0" applyNumberFormat="1" applyFont="1" applyFill="1" applyBorder="1" applyAlignment="1">
      <x:alignment vertical="center"/>
    </x:xf>
    <x:xf numFmtId="202" fontId="6" fillId="0" borderId="8" xfId="0" applyNumberFormat="1" applyFont="1" applyFill="1" applyBorder="1" applyAlignment="1">
      <x:alignment vertical="center"/>
    </x:xf>
    <x:xf numFmtId="202" fontId="6" fillId="0" borderId="9" xfId="0" applyNumberFormat="1" applyFont="1" applyFill="1" applyBorder="1" applyAlignment="1">
      <x:alignment vertical="center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7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8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9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7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8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9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7" xfId="0" applyNumberFormat="1" applyFont="1" applyFill="1" applyBorder="1" applyAlignment="1">
      <x:alignment vertical="center" wrapText="1"/>
    </x:xf>
    <x:xf numFmtId="0" fontId="6" fillId="0" borderId="8" xfId="0" applyNumberFormat="1" applyFont="1" applyFill="1" applyBorder="1" applyAlignment="1">
      <x:alignment vertical="center" wrapText="1"/>
    </x:xf>
    <x:xf numFmtId="0" fontId="6" fillId="0" borderId="9" xfId="0" applyNumberFormat="1" applyFont="1" applyFill="1" applyBorder="1" applyAlignment="1">
      <x:alignment vertical="center" wrapText="1"/>
    </x:xf>
    <x:xf numFmtId="203" fontId="6" fillId="0" borderId="7" xfId="0" applyNumberFormat="1" applyFont="1" applyFill="1" applyBorder="1" applyAlignment="1">
      <x:alignment vertical="center"/>
    </x:xf>
    <x:xf numFmtId="203" fontId="6" fillId="0" borderId="8" xfId="0" applyNumberFormat="1" applyFont="1" applyFill="1" applyBorder="1" applyAlignment="1">
      <x:alignment vertical="center"/>
    </x:xf>
    <x:xf numFmtId="203" fontId="6" fillId="0" borderId="9" xfId="0" applyNumberFormat="1" applyFont="1" applyFill="1" applyBorder="1" applyAlignment="1">
      <x:alignment vertical="center"/>
    </x:xf>
  </x:cellXfs>
  <x:cellStyles count="1">
    <x:cellStyle name="Normal" xfId="0"/>
  </x:cellStyles>
  <x:dxfs count="2">
    <x:dxf>
      <x:font>
        <x:b/>
        <x:color rgb="FFB42318"/>
      </x:font>
      <x:fill>
        <x:patternFill patternType="solid">
          <x:bgColor rgb="FFFCE8E6"/>
        </x:patternFill>
      </x:fill>
    </x:dxf>
    <x:dxf>
      <x:font>
        <x:b/>
        <x:color rgb="FF137333"/>
      </x:font>
      <x:fill>
        <x:patternFill patternType="solid">
          <x:bgColor rgb="FFE6F4EA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8399f81b2224ef1" /><Relationship Type="http://schemas.openxmlformats.org/officeDocument/2006/relationships/theme" Target="/xl/theme/theme1.xml" Id="R9a539dc20a964c77" /><Relationship Type="http://schemas.microsoft.com/office/2022/11/relationships/FeaturePropertyBag" Target="/xl/featurePropertyBag/featurePropertyBag.xml" Id="R9fea5fa481414326" /><Relationship Type="http://schemas.openxmlformats.org/officeDocument/2006/relationships/sharedStrings" Target="/xl/sharedStrings.xml" Id="R34e15c8c5fd3421f" /><Relationship Type="http://schemas.openxmlformats.org/officeDocument/2006/relationships/worksheet" Target="/xl/worksheets/sheet1.xml" Id="Rfb646410bd9c45c4" /><Relationship Type="http://schemas.openxmlformats.org/officeDocument/2006/relationships/worksheet" Target="/xl/worksheets/sheet2.xml" Id="R168b49f54ad74080" /><Relationship Type="http://schemas.openxmlformats.org/officeDocument/2006/relationships/worksheet" Target="/xl/worksheets/sheet3.xml" Id="R3c1f5b3374764efc" /><Relationship Type="http://schemas.openxmlformats.org/officeDocument/2006/relationships/worksheet" Target="/xl/worksheets/sheet4.xml" Id="R66632533ec5a43c2" /><Relationship Type="http://schemas.openxmlformats.org/officeDocument/2006/relationships/worksheet" Target="/xl/worksheets/sheet5.xml" Id="R9e30e2524a9a4291" /><Relationship Type="http://schemas.openxmlformats.org/officeDocument/2006/relationships/worksheet" Target="/xl/worksheets/sheet6.xml" Id="Rca69b250368a4641" /><Relationship Type="http://schemas.openxmlformats.org/officeDocument/2006/relationships/worksheet" Target="/xl/worksheets/sheet7.xml" Id="Rf606528740874b08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HistoryTransactionsTable" displayName="HistoryTransactionsTable" ref="A1:J43" headerRowCount="1" totalsRowCount="0" totalsRowShown="0">
  <x:tableColumns count="10">
    <x:tableColumn id="1" name="transaction_id"/>
    <x:tableColumn id="2" name="transaction_date"/>
    <x:tableColumn id="3" name="supplier_name"/>
    <x:tableColumn id="4" name="industry"/>
    <x:tableColumn id="5" name="product_category"/>
    <x:tableColumn id="6" name="product_name"/>
    <x:tableColumn id="7" name="invoice_amount"/>
    <x:tableColumn id="8" name="tax_rate"/>
    <x:tableColumn id="9" name="tax_amount"/>
    <x:tableColumn id="10" name="supplier_profil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InvoiceEventsTable" displayName="InvoiceEventsTable" ref="A1:D76" headerRowCount="1" totalsRowCount="0" totalsRowShown="0">
  <x:tableColumns count="4">
    <x:tableColumn id="1" name="event_id"/>
    <x:tableColumn id="2" name="event_date"/>
    <x:tableColumn id="3" name="supplier_name"/>
    <x:tableColumn id="4" name="event_typ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CurrentInvoicesTable" displayName="CurrentInvoicesTable" ref="A1:K13" headerRowCount="1" totalsRowCount="0" totalsRowShown="0">
  <x:tableColumns count="11">
    <x:tableColumn id="1" name="invoice_id"/>
    <x:tableColumn id="2" name="invoice_date"/>
    <x:tableColumn id="3" name="supplier_name"/>
    <x:tableColumn id="4" name="industry"/>
    <x:tableColumn id="5" name="product_category"/>
    <x:tableColumn id="6" name="product_name"/>
    <x:tableColumn id="7" name="invoice_amount"/>
    <x:tableColumn id="8" name="tax_rate"/>
    <x:tableColumn id="9" name="tax_amount"/>
    <x:tableColumn id="10" name="recent_30d_invoice_count"/>
    <x:tableColumn id="11" name="supplier_profile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ExpectedResultsTable" displayName="ExpectedResultsTable" ref="A1:F13" headerRowCount="1" totalsRowCount="0" totalsRowShown="0">
  <x:tableColumns count="6">
    <x:tableColumn id="1" name="invoice_id"/>
    <x:tableColumn id="2" name="risk_label"/>
    <x:tableColumn id="3" name="risk_type"/>
    <x:tableColumn id="4" name="risk_reason"/>
    <x:tableColumn id="5" name="requires_review"/>
    <x:tableColumn id="6" name="triggered_rule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SupplierSummaryTable" displayName="SupplierSummaryTable" ref="A1:H7" headerRowCount="1" totalsRowCount="0" totalsRowShown="0">
  <x:tableColumns count="8">
    <x:tableColumn id="1" name="supplier_name"/>
    <x:tableColumn id="2" name="product_category"/>
    <x:tableColumn id="3" name="product_name"/>
    <x:tableColumn id="4" name="transaction_count"/>
    <x:tableColumn id="5" name="average_amount"/>
    <x:tableColumn id="6" name="minimum_amount"/>
    <x:tableColumn id="7" name="maximum_amount"/>
    <x:tableColumn id="8" name="supplier_profile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RulesDefinitionTable" displayName="RulesDefinitionTable" ref="A1:D5" headerRowCount="1" totalsRowCount="0" totalsRowShown="0">
  <x:tableColumns count="4">
    <x:tableColumn id="1" name="rule_id"/>
    <x:tableColumn id="2" name="rule_name"/>
    <x:tableColumn id="3" name="detection_logic"/>
    <x:tableColumn id="4" name="resul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65d5c179ed1c4d7c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2a2757d7c7c34902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ed20ffc1498840ab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974c39cb7e334ba9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c68995105eb54d8d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2ae25bf1d71d40f6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24" hidden="0" customWidth="1"/>
    <x:col min="3" max="3" width="72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</x:cols>
  <x:sheetData>
    <x:row r="1">
      <x:c r="A1" s="4" t="str">
        <x:v>发票供应商交易数据 · 清洗版</x:v>
      </x:c>
      <x:c r="B1" s="4"/>
      <x:c r="C1" s="4"/>
      <x:c r="D1" s="4"/>
      <x:c r="E1" s="4"/>
      <x:c r="F1" s="4"/>
      <x:c r="G1" s="4"/>
      <x:c r="H1" s="4"/>
    </x:row>
    <x:row r="2">
      <x:c r="A2" s="4"/>
      <x:c r="B2" s="4"/>
      <x:c r="C2" s="4"/>
      <x:c r="D2" s="4"/>
      <x:c r="E2" s="4"/>
      <x:c r="F2" s="4"/>
      <x:c r="G2" s="4"/>
      <x:c r="H2" s="4"/>
    </x:row>
    <x:row r="4">
      <x:c r="A4" s="6" t="str">
        <x:v>源数据行数</x:v>
      </x:c>
      <x:c r="B4" s="9" t="n">
        <x:v>54</x:v>
      </x:c>
    </x:row>
    <x:row r="5">
      <x:c r="A5" s="6" t="str">
        <x:v>清洗后历史交易</x:v>
      </x:c>
      <x:c r="B5" s="9" t="n">
        <x:v>42</x:v>
      </x:c>
    </x:row>
    <x:row r="6">
      <x:c r="A6" s="6" t="str">
        <x:v>独立待检测发票</x:v>
      </x:c>
      <x:c r="B6" s="9" t="n">
        <x:v>12</x:v>
      </x:c>
    </x:row>
    <x:row r="7">
      <x:c r="A7" s="6" t="str">
        <x:v>标准答案</x:v>
      </x:c>
      <x:c r="B7" s="9" t="n">
        <x:v>12</x:v>
      </x:c>
    </x:row>
    <x:row r="8">
      <x:c r="A8" s="6" t="str">
        <x:v>开票事件日志</x:v>
      </x:c>
      <x:c r="B8" s="9" t="n">
        <x:v>75</x:v>
      </x:c>
    </x:row>
    <x:row r="9">
      <x:c r="A9" s="11" t="str">
        <x:v>本次清洗做了什么</x:v>
      </x:c>
      <x:c r="B9" s="11"/>
      <x:c r="C9" s="11"/>
      <x:c r="D9" s="11"/>
      <x:c r="E9" s="11"/>
      <x:c r="F9" s="11"/>
      <x:c r="G9" s="11"/>
      <x:c r="H9" s="11"/>
    </x:row>
    <x:row r="10" ht="34" customHeight="1">
      <x:c r="A10" s="16" t="str">
        <x:v>1</x:v>
      </x:c>
      <x:c r="B10" s="17" t="str">
        <x:v>拆分标签</x:v>
      </x:c>
      <x:c r="C10" s="18" t="str">
        <x:v>将风险标签、原因和触发规则移到“标准答案”，避免模型在输入中直接看到答案。</x:v>
      </x:c>
    </x:row>
    <x:row r="11" ht="34" customHeight="1">
      <x:c r="A11" s="19" t="str">
        <x:v>2</x:v>
      </x:c>
      <x:c r="B11" s="20" t="str">
        <x:v>建立时间边界</x:v>
      </x:c>
      <x:c r="C11" s="21" t="str">
        <x:v>历史交易仅保留过去正常记录；待检测发票统一设置在历史数据之后，避免未来数据参与历史统计。</x:v>
      </x:c>
    </x:row>
    <x:row r="12" ht="34" customHeight="1">
      <x:c r="A12" s="19" t="str">
        <x:v>3</x:v>
      </x:c>
      <x:c r="B12" s="20" t="str">
        <x:v>消除固定规律</x:v>
      </x:c>
      <x:c r="C12" s="21" t="str">
        <x:v>异常样本不再统一使用1%税率、同一天日期、固定20次频率或每组最后一条记录。</x:v>
      </x:c>
    </x:row>
    <x:row r="13" ht="34" customHeight="1">
      <x:c r="A13" s="19" t="str">
        <x:v>4</x:v>
      </x:c>
      <x:c r="B13" s="20" t="str">
        <x:v>分离异常原因</x:v>
      </x:c>
      <x:c r="C13" s="21" t="str">
        <x:v>测试集包含金额异常、频率异常和组合异常，同时保留正常样本，避免所有异常只有同一种原因。</x:v>
      </x:c>
    </x:row>
    <x:row r="14" ht="34" customHeight="1">
      <x:c r="A14" s="19" t="str">
        <x:v>5</x:v>
      </x:c>
      <x:c r="B14" s="20" t="str">
        <x:v>重新编号与打散</x:v>
      </x:c>
      <x:c r="C14" s="21" t="str">
        <x:v>历史和测试记录重新编号，正常/异常顺序混排，避免invoice_id和行位置泄露标签。</x:v>
      </x:c>
    </x:row>
    <x:row r="15" ht="34" customHeight="1">
      <x:c r="A15" s="19" t="str">
        <x:v>6</x:v>
      </x:c>
      <x:c r="B15" s="20" t="str">
        <x:v>动态供应商汇总</x:v>
      </x:c>
      <x:c r="C15" s="21" t="str">
        <x:v>交易次数、平均/最小/最大金额由历史交易公式计算，减少手工维护和统计不一致。</x:v>
      </x:c>
    </x:row>
    <x:row r="16" ht="34" customHeight="1">
      <x:c r="A16" s="22" t="str">
        <x:v>7</x:v>
      </x:c>
      <x:c r="B16" s="23" t="str">
        <x:v>动态频率特征</x:v>
      </x:c>
      <x:c r="C16" s="24" t="str">
        <x:v>近30天发票数由“开票事件日志”通过COUNTIFS公式计算，不再人工填写或从OCR获取。</x:v>
      </x:c>
    </x:row>
    <x:row r="19">
      <x:c r="A19" s="25" t="str">
        <x:v>推荐使用顺序</x:v>
      </x:c>
      <x:c r="B19" s="25"/>
      <x:c r="C19" s="25"/>
      <x:c r="D19" s="25"/>
      <x:c r="E19" s="25"/>
      <x:c r="F19" s="25"/>
      <x:c r="G19" s="25"/>
      <x:c r="H19" s="25"/>
    </x:row>
    <x:row r="20" ht="26" customHeight="1">
      <x:c r="A20" s="28" t="str">
        <x:v>① 用“历史交易明细”或“供应商汇总”提供历史基线。</x:v>
      </x:c>
      <x:c r="B20" s="28"/>
      <x:c r="C20" s="28"/>
      <x:c r="D20" s="28"/>
      <x:c r="E20" s="28"/>
      <x:c r="F20" s="28"/>
      <x:c r="G20" s="28"/>
      <x:c r="H20" s="28"/>
    </x:row>
    <x:row r="21" ht="26" customHeight="1">
      <x:c r="A21" s="28" t="str">
        <x:v>② 将“待检测发票”作为模块输入，先运行规则检测。</x:v>
      </x:c>
      <x:c r="B21" s="28"/>
      <x:c r="C21" s="28"/>
      <x:c r="D21" s="28"/>
      <x:c r="E21" s="28"/>
      <x:c r="F21" s="28"/>
      <x:c r="G21" s="28"/>
      <x:c r="H21" s="28"/>
    </x:row>
    <x:row r="22" ht="26" customHeight="1">
      <x:c r="A22" s="28" t="str">
        <x:v>③ 将模型输出与“标准答案”对比评估。</x:v>
      </x:c>
      <x:c r="B22" s="28"/>
      <x:c r="C22" s="28"/>
      <x:c r="D22" s="28"/>
      <x:c r="E22" s="28"/>
      <x:c r="F22" s="28"/>
      <x:c r="G22" s="28"/>
      <x:c r="H22" s="28"/>
    </x:row>
    <x:row r="23" ht="26" customHeight="1">
      <x:c r="A23" s="28" t="str">
        <x:v>④ R007使用公式计算得到的近30天次数；生产环境应改为查询交易数据库。</x:v>
      </x:c>
      <x:c r="B23" s="28"/>
      <x:c r="C23" s="28"/>
      <x:c r="D23" s="28"/>
      <x:c r="E23" s="28"/>
      <x:c r="F23" s="28"/>
      <x:c r="G23" s="28"/>
      <x:c r="H23" s="28"/>
    </x:row>
  </x:sheetData>
  <x:mergeCells>
    <x:mergeCell ref="A1:H2"/>
    <x:mergeCell ref="A9:H9"/>
    <x:mergeCell ref="A19:H19"/>
    <x:mergeCell ref="A20:H20"/>
    <x:mergeCell ref="A21:H21"/>
    <x:mergeCell ref="A22:H22"/>
    <x:mergeCell ref="A23:H23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14" hidden="0" customWidth="1"/>
    <x:col min="3" max="3" width="26" hidden="0" customWidth="1"/>
    <x:col min="4" max="4" width="16" hidden="0" customWidth="1"/>
    <x:col min="5" max="5" width="18" hidden="0" customWidth="1"/>
    <x:col min="6" max="6" width="26" hidden="0" customWidth="1"/>
    <x:col min="7" max="7" width="16" hidden="0" customWidth="1"/>
    <x:col min="8" max="8" width="11" hidden="0" customWidth="1"/>
    <x:col min="9" max="9" width="14" hidden="0" customWidth="1"/>
    <x:col min="10" max="10" width="28" hidden="0" customWidth="1"/>
  </x:cols>
  <x:sheetData>
    <x:row r="1" ht="30" customHeight="1">
      <x:c r="A1" s="38" t="str">
        <x:v>transaction_id</x:v>
      </x:c>
      <x:c r="B1" s="39" t="str">
        <x:v>transaction_date</x:v>
      </x:c>
      <x:c r="C1" s="39" t="str">
        <x:v>supplier_name</x:v>
      </x:c>
      <x:c r="D1" s="39" t="str">
        <x:v>industry</x:v>
      </x:c>
      <x:c r="E1" s="39" t="str">
        <x:v>product_category</x:v>
      </x:c>
      <x:c r="F1" s="39" t="str">
        <x:v>product_name</x:v>
      </x:c>
      <x:c r="G1" s="39" t="str">
        <x:v>invoice_amount</x:v>
      </x:c>
      <x:c r="H1" s="39" t="str">
        <x:v>tax_rate</x:v>
      </x:c>
      <x:c r="I1" s="39" t="str">
        <x:v>tax_amount</x:v>
      </x:c>
      <x:c r="J1" s="40" t="str">
        <x:v>supplier_profile</x:v>
      </x:c>
    </x:row>
    <x:row r="2" ht="22" customHeight="1">
      <x:c r="A2" s="45" t="str">
        <x:v>HIST0001</x:v>
      </x:c>
      <x:c r="B2" s="48" t="n">
        <x:v>46028</x:v>
      </x:c>
      <x:c r="C2" s="45" t="str">
        <x:v>上海智联数据有限公司</x:v>
      </x:c>
      <x:c r="D2" s="45" t="str">
        <x:v>信息技术</x:v>
      </x:c>
      <x:c r="E2" s="45" t="str">
        <x:v>数据服务</x:v>
      </x:c>
      <x:c r="F2" s="45" t="str">
        <x:v>数据分析服务</x:v>
      </x:c>
      <x:c r="G2" s="51" t="n">
        <x:v>86500</x:v>
      </x:c>
      <x:c r="H2" s="54" t="n">
        <x:v>0.06</x:v>
      </x:c>
      <x:c r="I2" s="51" t="n">
        <x:v>5190</x:v>
      </x:c>
      <x:c r="J2" s="45" t="str">
        <x:v>技术服务供应商</x:v>
      </x:c>
    </x:row>
    <x:row r="3" ht="22" customHeight="1">
      <x:c r="A3" s="46" t="str">
        <x:v>HIST0002</x:v>
      </x:c>
      <x:c r="B3" s="49" t="n">
        <x:v>46030</x:v>
      </x:c>
      <x:c r="C3" s="46" t="str">
        <x:v>北京华信科技有限公司</x:v>
      </x:c>
      <x:c r="D3" s="46" t="str">
        <x:v>信息技术</x:v>
      </x:c>
      <x:c r="E3" s="46" t="str">
        <x:v>软件服务</x:v>
      </x:c>
      <x:c r="F3" s="46" t="str">
        <x:v>企业软件授权服务</x:v>
      </x:c>
      <x:c r="G3" s="52" t="n">
        <x:v>43765</x:v>
      </x:c>
      <x:c r="H3" s="55" t="n">
        <x:v>0.06</x:v>
      </x:c>
      <x:c r="I3" s="52" t="n">
        <x:v>2625.9</x:v>
      </x:c>
      <x:c r="J3" s="46" t="str">
        <x:v>长期合作供应商</x:v>
      </x:c>
    </x:row>
    <x:row r="4" ht="22" customHeight="1">
      <x:c r="A4" s="46" t="str">
        <x:v>HIST0003</x:v>
      </x:c>
      <x:c r="B4" s="49" t="n">
        <x:v>46041</x:v>
      </x:c>
      <x:c r="C4" s="46" t="str">
        <x:v>杭州云启网络有限公司</x:v>
      </x:c>
      <x:c r="D4" s="46" t="str">
        <x:v>信息技术</x:v>
      </x:c>
      <x:c r="E4" s="46" t="str">
        <x:v>云服务</x:v>
      </x:c>
      <x:c r="F4" s="46" t="str">
        <x:v>云资源服务</x:v>
      </x:c>
      <x:c r="G4" s="52" t="n">
        <x:v>64583</x:v>
      </x:c>
      <x:c r="H4" s="55" t="n">
        <x:v>0.06</x:v>
      </x:c>
      <x:c r="I4" s="52" t="n">
        <x:v>3874.98</x:v>
      </x:c>
      <x:c r="J4" s="46" t="str">
        <x:v>云服务供应商</x:v>
      </x:c>
    </x:row>
    <x:row r="5" ht="22" customHeight="1">
      <x:c r="A5" s="46" t="str">
        <x:v>HIST0004</x:v>
      </x:c>
      <x:c r="B5" s="49" t="n">
        <x:v>46056</x:v>
      </x:c>
      <x:c r="C5" s="46" t="str">
        <x:v>广州恒远贸易有限公司</x:v>
      </x:c>
      <x:c r="D5" s="46" t="str">
        <x:v>贸易</x:v>
      </x:c>
      <x:c r="E5" s="46" t="str">
        <x:v>办公用品</x:v>
      </x:c>
      <x:c r="F5" s="46" t="str">
        <x:v>办公耗材</x:v>
      </x:c>
      <x:c r="G5" s="52" t="n">
        <x:v>6914</x:v>
      </x:c>
      <x:c r="H5" s="55" t="n">
        <x:v>0.06</x:v>
      </x:c>
      <x:c r="I5" s="52" t="n">
        <x:v>414.84</x:v>
      </x:c>
      <x:c r="J5" s="46" t="str">
        <x:v>高频供应商</x:v>
      </x:c>
    </x:row>
    <x:row r="6" ht="22" customHeight="1">
      <x:c r="A6" s="46" t="str">
        <x:v>HIST0005</x:v>
      </x:c>
      <x:c r="B6" s="49" t="n">
        <x:v>46058</x:v>
      </x:c>
      <x:c r="C6" s="46" t="str">
        <x:v>杭州云启网络有限公司</x:v>
      </x:c>
      <x:c r="D6" s="46" t="str">
        <x:v>信息技术</x:v>
      </x:c>
      <x:c r="E6" s="46" t="str">
        <x:v>云服务</x:v>
      </x:c>
      <x:c r="F6" s="46" t="str">
        <x:v>云资源服务</x:v>
      </x:c>
      <x:c r="G6" s="52" t="n">
        <x:v>49175</x:v>
      </x:c>
      <x:c r="H6" s="55" t="n">
        <x:v>0.06</x:v>
      </x:c>
      <x:c r="I6" s="52" t="n">
        <x:v>2950.5</x:v>
      </x:c>
      <x:c r="J6" s="46" t="str">
        <x:v>云服务供应商</x:v>
      </x:c>
    </x:row>
    <x:row r="7" ht="22" customHeight="1">
      <x:c r="A7" s="46" t="str">
        <x:v>HIST0006</x:v>
      </x:c>
      <x:c r="B7" s="49" t="n">
        <x:v>46063</x:v>
      </x:c>
      <x:c r="C7" s="46" t="str">
        <x:v>北京华信科技有限公司</x:v>
      </x:c>
      <x:c r="D7" s="46" t="str">
        <x:v>信息技术</x:v>
      </x:c>
      <x:c r="E7" s="46" t="str">
        <x:v>软件服务</x:v>
      </x:c>
      <x:c r="F7" s="46" t="str">
        <x:v>企业软件授权服务</x:v>
      </x:c>
      <x:c r="G7" s="52" t="n">
        <x:v>49176</x:v>
      </x:c>
      <x:c r="H7" s="55" t="n">
        <x:v>0.06</x:v>
      </x:c>
      <x:c r="I7" s="52" t="n">
        <x:v>2950.56</x:v>
      </x:c>
      <x:c r="J7" s="46" t="str">
        <x:v>长期合作供应商</x:v>
      </x:c>
    </x:row>
    <x:row r="8" ht="22" customHeight="1">
      <x:c r="A8" s="46" t="str">
        <x:v>HIST0007</x:v>
      </x:c>
      <x:c r="B8" s="49" t="n">
        <x:v>46067</x:v>
      </x:c>
      <x:c r="C8" s="46" t="str">
        <x:v>合肥创新人工智能有限公司</x:v>
      </x:c>
      <x:c r="D8" s="46" t="str">
        <x:v>人工智能</x:v>
      </x:c>
      <x:c r="E8" s="46" t="str">
        <x:v>AI服务</x:v>
      </x:c>
      <x:c r="F8" s="46" t="str">
        <x:v>算法模型开发</x:v>
      </x:c>
      <x:c r="G8" s="52" t="n">
        <x:v>524464</x:v>
      </x:c>
      <x:c r="H8" s="55" t="n">
        <x:v>0.06</x:v>
      </x:c>
      <x:c r="I8" s="52" t="n">
        <x:v>31467.84</x:v>
      </x:c>
      <x:c r="J8" s="46" t="str">
        <x:v>高价值供应商</x:v>
      </x:c>
    </x:row>
    <x:row r="9" ht="22" customHeight="1">
      <x:c r="A9" s="46" t="str">
        <x:v>HIST0008</x:v>
      </x:c>
      <x:c r="B9" s="49" t="n">
        <x:v>46069</x:v>
      </x:c>
      <x:c r="C9" s="46" t="str">
        <x:v>深圳云创设备有限公司</x:v>
      </x:c>
      <x:c r="D9" s="46" t="str">
        <x:v>制造业</x:v>
      </x:c>
      <x:c r="E9" s="46" t="str">
        <x:v>服务器设备</x:v>
      </x:c>
      <x:c r="F9" s="46" t="str">
        <x:v>服务器采购</x:v>
      </x:c>
      <x:c r="G9" s="52" t="n">
        <x:v>465577</x:v>
      </x:c>
      <x:c r="H9" s="55" t="n">
        <x:v>0.06</x:v>
      </x:c>
      <x:c r="I9" s="52" t="n">
        <x:v>27934.62</x:v>
      </x:c>
      <x:c r="J9" s="46" t="str">
        <x:v>大型设备供应商</x:v>
      </x:c>
    </x:row>
    <x:row r="10" ht="22" customHeight="1">
      <x:c r="A10" s="46" t="str">
        <x:v>HIST0009</x:v>
      </x:c>
      <x:c r="B10" s="49" t="n">
        <x:v>46076</x:v>
      </x:c>
      <x:c r="C10" s="46" t="str">
        <x:v>合肥创新人工智能有限公司</x:v>
      </x:c>
      <x:c r="D10" s="46" t="str">
        <x:v>人工智能</x:v>
      </x:c>
      <x:c r="E10" s="46" t="str">
        <x:v>AI服务</x:v>
      </x:c>
      <x:c r="F10" s="46" t="str">
        <x:v>算法模型开发</x:v>
      </x:c>
      <x:c r="G10" s="52" t="n">
        <x:v>471863</x:v>
      </x:c>
      <x:c r="H10" s="55" t="n">
        <x:v>0.06</x:v>
      </x:c>
      <x:c r="I10" s="52" t="n">
        <x:v>28311.78</x:v>
      </x:c>
      <x:c r="J10" s="46" t="str">
        <x:v>高价值供应商</x:v>
      </x:c>
    </x:row>
    <x:row r="11" ht="22" customHeight="1">
      <x:c r="A11" s="46" t="str">
        <x:v>HIST0010</x:v>
      </x:c>
      <x:c r="B11" s="49" t="n">
        <x:v>46077</x:v>
      </x:c>
      <x:c r="C11" s="46" t="str">
        <x:v>杭州云启网络有限公司</x:v>
      </x:c>
      <x:c r="D11" s="46" t="str">
        <x:v>信息技术</x:v>
      </x:c>
      <x:c r="E11" s="46" t="str">
        <x:v>云服务</x:v>
      </x:c>
      <x:c r="F11" s="46" t="str">
        <x:v>云资源服务</x:v>
      </x:c>
      <x:c r="G11" s="52" t="n">
        <x:v>91813</x:v>
      </x:c>
      <x:c r="H11" s="55" t="n">
        <x:v>0.06</x:v>
      </x:c>
      <x:c r="I11" s="52" t="n">
        <x:v>5508.78</x:v>
      </x:c>
      <x:c r="J11" s="46" t="str">
        <x:v>云服务供应商</x:v>
      </x:c>
    </x:row>
    <x:row r="12" ht="22" customHeight="1">
      <x:c r="A12" s="46" t="str">
        <x:v>HIST0011</x:v>
      </x:c>
      <x:c r="B12" s="49" t="n">
        <x:v>46079</x:v>
      </x:c>
      <x:c r="C12" s="46" t="str">
        <x:v>合肥创新人工智能有限公司</x:v>
      </x:c>
      <x:c r="D12" s="46" t="str">
        <x:v>人工智能</x:v>
      </x:c>
      <x:c r="E12" s="46" t="str">
        <x:v>AI服务</x:v>
      </x:c>
      <x:c r="F12" s="46" t="str">
        <x:v>算法模型开发</x:v>
      </x:c>
      <x:c r="G12" s="52" t="n">
        <x:v>325136</x:v>
      </x:c>
      <x:c r="H12" s="55" t="n">
        <x:v>0.06</x:v>
      </x:c>
      <x:c r="I12" s="52" t="n">
        <x:v>19508.16</x:v>
      </x:c>
      <x:c r="J12" s="46" t="str">
        <x:v>高价值供应商</x:v>
      </x:c>
    </x:row>
    <x:row r="13" ht="22" customHeight="1">
      <x:c r="A13" s="46" t="str">
        <x:v>HIST0012</x:v>
      </x:c>
      <x:c r="B13" s="49" t="n">
        <x:v>46083</x:v>
      </x:c>
      <x:c r="C13" s="46" t="str">
        <x:v>杭州云启网络有限公司</x:v>
      </x:c>
      <x:c r="D13" s="46" t="str">
        <x:v>信息技术</x:v>
      </x:c>
      <x:c r="E13" s="46" t="str">
        <x:v>云服务</x:v>
      </x:c>
      <x:c r="F13" s="46" t="str">
        <x:v>云资源服务</x:v>
      </x:c>
      <x:c r="G13" s="52" t="n">
        <x:v>76617</x:v>
      </x:c>
      <x:c r="H13" s="55" t="n">
        <x:v>0.06</x:v>
      </x:c>
      <x:c r="I13" s="52" t="n">
        <x:v>4597.02</x:v>
      </x:c>
      <x:c r="J13" s="46" t="str">
        <x:v>云服务供应商</x:v>
      </x:c>
    </x:row>
    <x:row r="14" ht="22" customHeight="1">
      <x:c r="A14" s="46" t="str">
        <x:v>HIST0013</x:v>
      </x:c>
      <x:c r="B14" s="49" t="n">
        <x:v>46099</x:v>
      </x:c>
      <x:c r="C14" s="46" t="str">
        <x:v>北京华信科技有限公司</x:v>
      </x:c>
      <x:c r="D14" s="46" t="str">
        <x:v>信息技术</x:v>
      </x:c>
      <x:c r="E14" s="46" t="str">
        <x:v>软件服务</x:v>
      </x:c>
      <x:c r="F14" s="46" t="str">
        <x:v>企业软件授权服务</x:v>
      </x:c>
      <x:c r="G14" s="52" t="n">
        <x:v>66913</x:v>
      </x:c>
      <x:c r="H14" s="55" t="n">
        <x:v>0.06</x:v>
      </x:c>
      <x:c r="I14" s="52" t="n">
        <x:v>4014.78</x:v>
      </x:c>
      <x:c r="J14" s="46" t="str">
        <x:v>长期合作供应商</x:v>
      </x:c>
    </x:row>
    <x:row r="15" ht="22" customHeight="1">
      <x:c r="A15" s="46" t="str">
        <x:v>HIST0014</x:v>
      </x:c>
      <x:c r="B15" s="49" t="n">
        <x:v>46104</x:v>
      </x:c>
      <x:c r="C15" s="46" t="str">
        <x:v>北京华信科技有限公司</x:v>
      </x:c>
      <x:c r="D15" s="46" t="str">
        <x:v>信息技术</x:v>
      </x:c>
      <x:c r="E15" s="46" t="str">
        <x:v>软件服务</x:v>
      </x:c>
      <x:c r="F15" s="46" t="str">
        <x:v>企业软件授权服务</x:v>
      </x:c>
      <x:c r="G15" s="52" t="n">
        <x:v>41369</x:v>
      </x:c>
      <x:c r="H15" s="55" t="n">
        <x:v>0.06</x:v>
      </x:c>
      <x:c r="I15" s="52" t="n">
        <x:v>2482.14</x:v>
      </x:c>
      <x:c r="J15" s="46" t="str">
        <x:v>长期合作供应商</x:v>
      </x:c>
    </x:row>
    <x:row r="16" ht="22" customHeight="1">
      <x:c r="A16" s="46" t="str">
        <x:v>HIST0015</x:v>
      </x:c>
      <x:c r="B16" s="49" t="n">
        <x:v>46110</x:v>
      </x:c>
      <x:c r="C16" s="46" t="str">
        <x:v>广州恒远贸易有限公司</x:v>
      </x:c>
      <x:c r="D16" s="46" t="str">
        <x:v>贸易</x:v>
      </x:c>
      <x:c r="E16" s="46" t="str">
        <x:v>办公用品</x:v>
      </x:c>
      <x:c r="F16" s="46" t="str">
        <x:v>办公耗材</x:v>
      </x:c>
      <x:c r="G16" s="52" t="n">
        <x:v>9223</x:v>
      </x:c>
      <x:c r="H16" s="55" t="n">
        <x:v>0.06</x:v>
      </x:c>
      <x:c r="I16" s="52" t="n">
        <x:v>553.38</x:v>
      </x:c>
      <x:c r="J16" s="46" t="str">
        <x:v>高频供应商</x:v>
      </x:c>
    </x:row>
    <x:row r="17" ht="22" customHeight="1">
      <x:c r="A17" s="46" t="str">
        <x:v>HIST0016</x:v>
      </x:c>
      <x:c r="B17" s="49" t="n">
        <x:v>46114</x:v>
      </x:c>
      <x:c r="C17" s="46" t="str">
        <x:v>深圳云创设备有限公司</x:v>
      </x:c>
      <x:c r="D17" s="46" t="str">
        <x:v>制造业</x:v>
      </x:c>
      <x:c r="E17" s="46" t="str">
        <x:v>服务器设备</x:v>
      </x:c>
      <x:c r="F17" s="46" t="str">
        <x:v>服务器采购</x:v>
      </x:c>
      <x:c r="G17" s="52" t="n">
        <x:v>214767</x:v>
      </x:c>
      <x:c r="H17" s="55" t="n">
        <x:v>0.06</x:v>
      </x:c>
      <x:c r="I17" s="52" t="n">
        <x:v>12886.02</x:v>
      </x:c>
      <x:c r="J17" s="46" t="str">
        <x:v>大型设备供应商</x:v>
      </x:c>
    </x:row>
    <x:row r="18" ht="22" customHeight="1">
      <x:c r="A18" s="46" t="str">
        <x:v>HIST0017</x:v>
      </x:c>
      <x:c r="B18" s="49" t="n">
        <x:v>46116</x:v>
      </x:c>
      <x:c r="C18" s="46" t="str">
        <x:v>广州恒远贸易有限公司</x:v>
      </x:c>
      <x:c r="D18" s="46" t="str">
        <x:v>贸易</x:v>
      </x:c>
      <x:c r="E18" s="46" t="str">
        <x:v>办公用品</x:v>
      </x:c>
      <x:c r="F18" s="46" t="str">
        <x:v>办公耗材</x:v>
      </x:c>
      <x:c r="G18" s="52" t="n">
        <x:v>8522</x:v>
      </x:c>
      <x:c r="H18" s="55" t="n">
        <x:v>0.06</x:v>
      </x:c>
      <x:c r="I18" s="52" t="n">
        <x:v>511.32</x:v>
      </x:c>
      <x:c r="J18" s="46" t="str">
        <x:v>高频供应商</x:v>
      </x:c>
    </x:row>
    <x:row r="19" ht="22" customHeight="1">
      <x:c r="A19" s="46" t="str">
        <x:v>HIST0018</x:v>
      </x:c>
      <x:c r="B19" s="49" t="n">
        <x:v>46117</x:v>
      </x:c>
      <x:c r="C19" s="46" t="str">
        <x:v>深圳云创设备有限公司</x:v>
      </x:c>
      <x:c r="D19" s="46" t="str">
        <x:v>制造业</x:v>
      </x:c>
      <x:c r="E19" s="46" t="str">
        <x:v>服务器设备</x:v>
      </x:c>
      <x:c r="F19" s="46" t="str">
        <x:v>服务器采购</x:v>
      </x:c>
      <x:c r="G19" s="52" t="n">
        <x:v>391222</x:v>
      </x:c>
      <x:c r="H19" s="55" t="n">
        <x:v>0.06</x:v>
      </x:c>
      <x:c r="I19" s="52" t="n">
        <x:v>23473.32</x:v>
      </x:c>
      <x:c r="J19" s="46" t="str">
        <x:v>大型设备供应商</x:v>
      </x:c>
    </x:row>
    <x:row r="20" ht="22" customHeight="1">
      <x:c r="A20" s="46" t="str">
        <x:v>HIST0019</x:v>
      </x:c>
      <x:c r="B20" s="49" t="n">
        <x:v>46118</x:v>
      </x:c>
      <x:c r="C20" s="46" t="str">
        <x:v>深圳云创设备有限公司</x:v>
      </x:c>
      <x:c r="D20" s="46" t="str">
        <x:v>制造业</x:v>
      </x:c>
      <x:c r="E20" s="46" t="str">
        <x:v>服务器设备</x:v>
      </x:c>
      <x:c r="F20" s="46" t="str">
        <x:v>服务器采购</x:v>
      </x:c>
      <x:c r="G20" s="52" t="n">
        <x:v>333708</x:v>
      </x:c>
      <x:c r="H20" s="55" t="n">
        <x:v>0.06</x:v>
      </x:c>
      <x:c r="I20" s="52" t="n">
        <x:v>20022.48</x:v>
      </x:c>
      <x:c r="J20" s="46" t="str">
        <x:v>大型设备供应商</x:v>
      </x:c>
    </x:row>
    <x:row r="21" ht="22" customHeight="1">
      <x:c r="A21" s="46" t="str">
        <x:v>HIST0020</x:v>
      </x:c>
      <x:c r="B21" s="49" t="n">
        <x:v>46127</x:v>
      </x:c>
      <x:c r="C21" s="46" t="str">
        <x:v>上海智联数据有限公司</x:v>
      </x:c>
      <x:c r="D21" s="46" t="str">
        <x:v>信息技术</x:v>
      </x:c>
      <x:c r="E21" s="46" t="str">
        <x:v>数据服务</x:v>
      </x:c>
      <x:c r="F21" s="46" t="str">
        <x:v>数据分析服务</x:v>
      </x:c>
      <x:c r="G21" s="52" t="n">
        <x:v>64993</x:v>
      </x:c>
      <x:c r="H21" s="55" t="n">
        <x:v>0.06</x:v>
      </x:c>
      <x:c r="I21" s="52" t="n">
        <x:v>3899.58</x:v>
      </x:c>
      <x:c r="J21" s="46" t="str">
        <x:v>技术服务供应商</x:v>
      </x:c>
    </x:row>
    <x:row r="22" ht="22" customHeight="1">
      <x:c r="A22" s="46" t="str">
        <x:v>HIST0021</x:v>
      </x:c>
      <x:c r="B22" s="49" t="n">
        <x:v>46132</x:v>
      </x:c>
      <x:c r="C22" s="46" t="str">
        <x:v>合肥创新人工智能有限公司</x:v>
      </x:c>
      <x:c r="D22" s="46" t="str">
        <x:v>人工智能</x:v>
      </x:c>
      <x:c r="E22" s="46" t="str">
        <x:v>AI服务</x:v>
      </x:c>
      <x:c r="F22" s="46" t="str">
        <x:v>算法模型开发</x:v>
      </x:c>
      <x:c r="G22" s="52" t="n">
        <x:v>393189</x:v>
      </x:c>
      <x:c r="H22" s="55" t="n">
        <x:v>0.06</x:v>
      </x:c>
      <x:c r="I22" s="52" t="n">
        <x:v>23591.34</x:v>
      </x:c>
      <x:c r="J22" s="46" t="str">
        <x:v>高价值供应商</x:v>
      </x:c>
    </x:row>
    <x:row r="23" ht="22" customHeight="1">
      <x:c r="A23" s="46" t="str">
        <x:v>HIST0022</x:v>
      </x:c>
      <x:c r="B23" s="49" t="n">
        <x:v>46134</x:v>
      </x:c>
      <x:c r="C23" s="46" t="str">
        <x:v>广州恒远贸易有限公司</x:v>
      </x:c>
      <x:c r="D23" s="46" t="str">
        <x:v>贸易</x:v>
      </x:c>
      <x:c r="E23" s="46" t="str">
        <x:v>办公用品</x:v>
      </x:c>
      <x:c r="F23" s="46" t="str">
        <x:v>办公耗材</x:v>
      </x:c>
      <x:c r="G23" s="52" t="n">
        <x:v>17041</x:v>
      </x:c>
      <x:c r="H23" s="55" t="n">
        <x:v>0.06</x:v>
      </x:c>
      <x:c r="I23" s="52" t="n">
        <x:v>1022.46</x:v>
      </x:c>
      <x:c r="J23" s="46" t="str">
        <x:v>高频供应商</x:v>
      </x:c>
    </x:row>
    <x:row r="24" ht="22" customHeight="1">
      <x:c r="A24" s="46" t="str">
        <x:v>HIST0023</x:v>
      </x:c>
      <x:c r="B24" s="49" t="n">
        <x:v>46134</x:v>
      </x:c>
      <x:c r="C24" s="46" t="str">
        <x:v>上海智联数据有限公司</x:v>
      </x:c>
      <x:c r="D24" s="46" t="str">
        <x:v>信息技术</x:v>
      </x:c>
      <x:c r="E24" s="46" t="str">
        <x:v>数据服务</x:v>
      </x:c>
      <x:c r="F24" s="46" t="str">
        <x:v>数据分析服务</x:v>
      </x:c>
      <x:c r="G24" s="52" t="n">
        <x:v>58040</x:v>
      </x:c>
      <x:c r="H24" s="55" t="n">
        <x:v>0.06</x:v>
      </x:c>
      <x:c r="I24" s="52" t="n">
        <x:v>3482.4</x:v>
      </x:c>
      <x:c r="J24" s="46" t="str">
        <x:v>技术服务供应商</x:v>
      </x:c>
    </x:row>
    <x:row r="25" ht="22" customHeight="1">
      <x:c r="A25" s="46" t="str">
        <x:v>HIST0024</x:v>
      </x:c>
      <x:c r="B25" s="49" t="n">
        <x:v>46141</x:v>
      </x:c>
      <x:c r="C25" s="46" t="str">
        <x:v>上海智联数据有限公司</x:v>
      </x:c>
      <x:c r="D25" s="46" t="str">
        <x:v>信息技术</x:v>
      </x:c>
      <x:c r="E25" s="46" t="str">
        <x:v>数据服务</x:v>
      </x:c>
      <x:c r="F25" s="46" t="str">
        <x:v>数据分析服务</x:v>
      </x:c>
      <x:c r="G25" s="52" t="n">
        <x:v>86537</x:v>
      </x:c>
      <x:c r="H25" s="55" t="n">
        <x:v>0.06</x:v>
      </x:c>
      <x:c r="I25" s="52" t="n">
        <x:v>5192.22</x:v>
      </x:c>
      <x:c r="J25" s="46" t="str">
        <x:v>技术服务供应商</x:v>
      </x:c>
    </x:row>
    <x:row r="26" ht="22" customHeight="1">
      <x:c r="A26" s="46" t="str">
        <x:v>HIST0025</x:v>
      </x:c>
      <x:c r="B26" s="49" t="n">
        <x:v>46142</x:v>
      </x:c>
      <x:c r="C26" s="46" t="str">
        <x:v>广州恒远贸易有限公司</x:v>
      </x:c>
      <x:c r="D26" s="46" t="str">
        <x:v>贸易</x:v>
      </x:c>
      <x:c r="E26" s="46" t="str">
        <x:v>办公用品</x:v>
      </x:c>
      <x:c r="F26" s="46" t="str">
        <x:v>办公耗材</x:v>
      </x:c>
      <x:c r="G26" s="52" t="n">
        <x:v>13542</x:v>
      </x:c>
      <x:c r="H26" s="55" t="n">
        <x:v>0.06</x:v>
      </x:c>
      <x:c r="I26" s="52" t="n">
        <x:v>812.52</x:v>
      </x:c>
      <x:c r="J26" s="46" t="str">
        <x:v>高频供应商</x:v>
      </x:c>
    </x:row>
    <x:row r="27" ht="22" customHeight="1">
      <x:c r="A27" s="46" t="str">
        <x:v>HIST0026</x:v>
      </x:c>
      <x:c r="B27" s="49" t="n">
        <x:v>46148</x:v>
      </x:c>
      <x:c r="C27" s="46" t="str">
        <x:v>合肥创新人工智能有限公司</x:v>
      </x:c>
      <x:c r="D27" s="46" t="str">
        <x:v>人工智能</x:v>
      </x:c>
      <x:c r="E27" s="46" t="str">
        <x:v>AI服务</x:v>
      </x:c>
      <x:c r="F27" s="46" t="str">
        <x:v>算法模型开发</x:v>
      </x:c>
      <x:c r="G27" s="52" t="n">
        <x:v>523031</x:v>
      </x:c>
      <x:c r="H27" s="55" t="n">
        <x:v>0.06</x:v>
      </x:c>
      <x:c r="I27" s="52" t="n">
        <x:v>31381.86</x:v>
      </x:c>
      <x:c r="J27" s="46" t="str">
        <x:v>高价值供应商</x:v>
      </x:c>
    </x:row>
    <x:row r="28" ht="22" customHeight="1">
      <x:c r="A28" s="46" t="str">
        <x:v>HIST0027</x:v>
      </x:c>
      <x:c r="B28" s="49" t="n">
        <x:v>46157</x:v>
      </x:c>
      <x:c r="C28" s="46" t="str">
        <x:v>杭州云启网络有限公司</x:v>
      </x:c>
      <x:c r="D28" s="46" t="str">
        <x:v>信息技术</x:v>
      </x:c>
      <x:c r="E28" s="46" t="str">
        <x:v>云服务</x:v>
      </x:c>
      <x:c r="F28" s="46" t="str">
        <x:v>云资源服务</x:v>
      </x:c>
      <x:c r="G28" s="52" t="n">
        <x:v>101456</x:v>
      </x:c>
      <x:c r="H28" s="55" t="n">
        <x:v>0.06</x:v>
      </x:c>
      <x:c r="I28" s="52" t="n">
        <x:v>6087.36</x:v>
      </x:c>
      <x:c r="J28" s="46" t="str">
        <x:v>云服务供应商</x:v>
      </x:c>
    </x:row>
    <x:row r="29" ht="22" customHeight="1">
      <x:c r="A29" s="46" t="str">
        <x:v>HIST0028</x:v>
      </x:c>
      <x:c r="B29" s="49" t="n">
        <x:v>46157</x:v>
      </x:c>
      <x:c r="C29" s="46" t="str">
        <x:v>深圳云创设备有限公司</x:v>
      </x:c>
      <x:c r="D29" s="46" t="str">
        <x:v>制造业</x:v>
      </x:c>
      <x:c r="E29" s="46" t="str">
        <x:v>服务器设备</x:v>
      </x:c>
      <x:c r="F29" s="46" t="str">
        <x:v>服务器采购</x:v>
      </x:c>
      <x:c r="G29" s="52" t="n">
        <x:v>323713</x:v>
      </x:c>
      <x:c r="H29" s="55" t="n">
        <x:v>0.06</x:v>
      </x:c>
      <x:c r="I29" s="52" t="n">
        <x:v>19422.78</x:v>
      </x:c>
      <x:c r="J29" s="46" t="str">
        <x:v>大型设备供应商</x:v>
      </x:c>
    </x:row>
    <x:row r="30" ht="22" customHeight="1">
      <x:c r="A30" s="46" t="str">
        <x:v>HIST0029</x:v>
      </x:c>
      <x:c r="B30" s="49" t="n">
        <x:v>46167</x:v>
      </x:c>
      <x:c r="C30" s="46" t="str">
        <x:v>合肥创新人工智能有限公司</x:v>
      </x:c>
      <x:c r="D30" s="46" t="str">
        <x:v>人工智能</x:v>
      </x:c>
      <x:c r="E30" s="46" t="str">
        <x:v>AI服务</x:v>
      </x:c>
      <x:c r="F30" s="46" t="str">
        <x:v>算法模型开发</x:v>
      </x:c>
      <x:c r="G30" s="52" t="n">
        <x:v>386932</x:v>
      </x:c>
      <x:c r="H30" s="55" t="n">
        <x:v>0.06</x:v>
      </x:c>
      <x:c r="I30" s="52" t="n">
        <x:v>23215.92</x:v>
      </x:c>
      <x:c r="J30" s="46" t="str">
        <x:v>高价值供应商</x:v>
      </x:c>
    </x:row>
    <x:row r="31" ht="22" customHeight="1">
      <x:c r="A31" s="46" t="str">
        <x:v>HIST0030</x:v>
      </x:c>
      <x:c r="B31" s="49" t="n">
        <x:v>46167</x:v>
      </x:c>
      <x:c r="C31" s="46" t="str">
        <x:v>上海智联数据有限公司</x:v>
      </x:c>
      <x:c r="D31" s="46" t="str">
        <x:v>信息技术</x:v>
      </x:c>
      <x:c r="E31" s="46" t="str">
        <x:v>数据服务</x:v>
      </x:c>
      <x:c r="F31" s="46" t="str">
        <x:v>数据分析服务</x:v>
      </x:c>
      <x:c r="G31" s="52" t="n">
        <x:v>90197</x:v>
      </x:c>
      <x:c r="H31" s="55" t="n">
        <x:v>0.06</x:v>
      </x:c>
      <x:c r="I31" s="52" t="n">
        <x:v>5411.82</x:v>
      </x:c>
      <x:c r="J31" s="46" t="str">
        <x:v>技术服务供应商</x:v>
      </x:c>
    </x:row>
    <x:row r="32" ht="22" customHeight="1">
      <x:c r="A32" s="46" t="str">
        <x:v>HIST0031</x:v>
      </x:c>
      <x:c r="B32" s="49" t="n">
        <x:v>46169</x:v>
      </x:c>
      <x:c r="C32" s="46" t="str">
        <x:v>合肥创新人工智能有限公司</x:v>
      </x:c>
      <x:c r="D32" s="46" t="str">
        <x:v>人工智能</x:v>
      </x:c>
      <x:c r="E32" s="46" t="str">
        <x:v>AI服务</x:v>
      </x:c>
      <x:c r="F32" s="46" t="str">
        <x:v>算法模型开发</x:v>
      </x:c>
      <x:c r="G32" s="52" t="n">
        <x:v>349932</x:v>
      </x:c>
      <x:c r="H32" s="55" t="n">
        <x:v>0.06</x:v>
      </x:c>
      <x:c r="I32" s="52" t="n">
        <x:v>20995.92</x:v>
      </x:c>
      <x:c r="J32" s="46" t="str">
        <x:v>高价值供应商</x:v>
      </x:c>
    </x:row>
    <x:row r="33" ht="22" customHeight="1">
      <x:c r="A33" s="46" t="str">
        <x:v>HIST0032</x:v>
      </x:c>
      <x:c r="B33" s="49" t="n">
        <x:v>46170</x:v>
      </x:c>
      <x:c r="C33" s="46" t="str">
        <x:v>深圳云创设备有限公司</x:v>
      </x:c>
      <x:c r="D33" s="46" t="str">
        <x:v>制造业</x:v>
      </x:c>
      <x:c r="E33" s="46" t="str">
        <x:v>服务器设备</x:v>
      </x:c>
      <x:c r="F33" s="46" t="str">
        <x:v>服务器采购</x:v>
      </x:c>
      <x:c r="G33" s="52" t="n">
        <x:v>577291</x:v>
      </x:c>
      <x:c r="H33" s="55" t="n">
        <x:v>0.06</x:v>
      </x:c>
      <x:c r="I33" s="52" t="n">
        <x:v>34637.46</x:v>
      </x:c>
      <x:c r="J33" s="46" t="str">
        <x:v>大型设备供应商</x:v>
      </x:c>
    </x:row>
    <x:row r="34" ht="22" customHeight="1">
      <x:c r="A34" s="46" t="str">
        <x:v>HIST0033</x:v>
      </x:c>
      <x:c r="B34" s="49" t="n">
        <x:v>46177</x:v>
      </x:c>
      <x:c r="C34" s="46" t="str">
        <x:v>杭州云启网络有限公司</x:v>
      </x:c>
      <x:c r="D34" s="46" t="str">
        <x:v>信息技术</x:v>
      </x:c>
      <x:c r="E34" s="46" t="str">
        <x:v>云服务</x:v>
      </x:c>
      <x:c r="F34" s="46" t="str">
        <x:v>云资源服务</x:v>
      </x:c>
      <x:c r="G34" s="52" t="n">
        <x:v>81770</x:v>
      </x:c>
      <x:c r="H34" s="55" t="n">
        <x:v>0.06</x:v>
      </x:c>
      <x:c r="I34" s="52" t="n">
        <x:v>4906.2</x:v>
      </x:c>
      <x:c r="J34" s="46" t="str">
        <x:v>云服务供应商</x:v>
      </x:c>
    </x:row>
    <x:row r="35" ht="22" customHeight="1">
      <x:c r="A35" s="46" t="str">
        <x:v>HIST0034</x:v>
      </x:c>
      <x:c r="B35" s="49" t="n">
        <x:v>46180</x:v>
      </x:c>
      <x:c r="C35" s="46" t="str">
        <x:v>北京华信科技有限公司</x:v>
      </x:c>
      <x:c r="D35" s="46" t="str">
        <x:v>信息技术</x:v>
      </x:c>
      <x:c r="E35" s="46" t="str">
        <x:v>软件服务</x:v>
      </x:c>
      <x:c r="F35" s="46" t="str">
        <x:v>企业软件授权服务</x:v>
      </x:c>
      <x:c r="G35" s="52" t="n">
        <x:v>60855</x:v>
      </x:c>
      <x:c r="H35" s="55" t="n">
        <x:v>0.06</x:v>
      </x:c>
      <x:c r="I35" s="52" t="n">
        <x:v>3651.3</x:v>
      </x:c>
      <x:c r="J35" s="46" t="str">
        <x:v>长期合作供应商</x:v>
      </x:c>
    </x:row>
    <x:row r="36" ht="22" customHeight="1">
      <x:c r="A36" s="46" t="str">
        <x:v>HIST0035</x:v>
      </x:c>
      <x:c r="B36" s="49" t="n">
        <x:v>46181</x:v>
      </x:c>
      <x:c r="C36" s="46" t="str">
        <x:v>上海智联数据有限公司</x:v>
      </x:c>
      <x:c r="D36" s="46" t="str">
        <x:v>信息技术</x:v>
      </x:c>
      <x:c r="E36" s="46" t="str">
        <x:v>数据服务</x:v>
      </x:c>
      <x:c r="F36" s="46" t="str">
        <x:v>数据分析服务</x:v>
      </x:c>
      <x:c r="G36" s="52" t="n">
        <x:v>66412</x:v>
      </x:c>
      <x:c r="H36" s="55" t="n">
        <x:v>0.06</x:v>
      </x:c>
      <x:c r="I36" s="52" t="n">
        <x:v>3984.72</x:v>
      </x:c>
      <x:c r="J36" s="46" t="str">
        <x:v>技术服务供应商</x:v>
      </x:c>
    </x:row>
    <x:row r="37" ht="22" customHeight="1">
      <x:c r="A37" s="46" t="str">
        <x:v>HIST0036</x:v>
      </x:c>
      <x:c r="B37" s="49" t="n">
        <x:v>46187</x:v>
      </x:c>
      <x:c r="C37" s="46" t="str">
        <x:v>广州恒远贸易有限公司</x:v>
      </x:c>
      <x:c r="D37" s="46" t="str">
        <x:v>贸易</x:v>
      </x:c>
      <x:c r="E37" s="46" t="str">
        <x:v>办公用品</x:v>
      </x:c>
      <x:c r="F37" s="46" t="str">
        <x:v>办公耗材</x:v>
      </x:c>
      <x:c r="G37" s="52" t="n">
        <x:v>14183</x:v>
      </x:c>
      <x:c r="H37" s="55" t="n">
        <x:v>0.06</x:v>
      </x:c>
      <x:c r="I37" s="52" t="n">
        <x:v>850.98</x:v>
      </x:c>
      <x:c r="J37" s="46" t="str">
        <x:v>高频供应商</x:v>
      </x:c>
    </x:row>
    <x:row r="38" ht="22" customHeight="1">
      <x:c r="A38" s="46" t="str">
        <x:v>HIST0037</x:v>
      </x:c>
      <x:c r="B38" s="49" t="n">
        <x:v>46188</x:v>
      </x:c>
      <x:c r="C38" s="46" t="str">
        <x:v>广州恒远贸易有限公司</x:v>
      </x:c>
      <x:c r="D38" s="46" t="str">
        <x:v>贸易</x:v>
      </x:c>
      <x:c r="E38" s="46" t="str">
        <x:v>办公用品</x:v>
      </x:c>
      <x:c r="F38" s="46" t="str">
        <x:v>办公耗材</x:v>
      </x:c>
      <x:c r="G38" s="52" t="n">
        <x:v>12148</x:v>
      </x:c>
      <x:c r="H38" s="55" t="n">
        <x:v>0.06</x:v>
      </x:c>
      <x:c r="I38" s="52" t="n">
        <x:v>728.88</x:v>
      </x:c>
      <x:c r="J38" s="46" t="str">
        <x:v>高频供应商</x:v>
      </x:c>
    </x:row>
    <x:row r="39" ht="22" customHeight="1">
      <x:c r="A39" s="46" t="str">
        <x:v>HIST0038</x:v>
      </x:c>
      <x:c r="B39" s="49" t="n">
        <x:v>46190</x:v>
      </x:c>
      <x:c r="C39" s="46" t="str">
        <x:v>北京华信科技有限公司</x:v>
      </x:c>
      <x:c r="D39" s="46" t="str">
        <x:v>信息技术</x:v>
      </x:c>
      <x:c r="E39" s="46" t="str">
        <x:v>软件服务</x:v>
      </x:c>
      <x:c r="F39" s="46" t="str">
        <x:v>企业软件授权服务</x:v>
      </x:c>
      <x:c r="G39" s="52" t="n">
        <x:v>26227</x:v>
      </x:c>
      <x:c r="H39" s="55" t="n">
        <x:v>0.06</x:v>
      </x:c>
      <x:c r="I39" s="52" t="n">
        <x:v>1573.62</x:v>
      </x:c>
      <x:c r="J39" s="46" t="str">
        <x:v>长期合作供应商</x:v>
      </x:c>
    </x:row>
    <x:row r="40" ht="22" customHeight="1">
      <x:c r="A40" s="46" t="str">
        <x:v>HIST0039</x:v>
      </x:c>
      <x:c r="B40" s="49" t="n">
        <x:v>46190</x:v>
      </x:c>
      <x:c r="C40" s="46" t="str">
        <x:v>深圳云创设备有限公司</x:v>
      </x:c>
      <x:c r="D40" s="46" t="str">
        <x:v>制造业</x:v>
      </x:c>
      <x:c r="E40" s="46" t="str">
        <x:v>服务器设备</x:v>
      </x:c>
      <x:c r="F40" s="46" t="str">
        <x:v>服务器采购</x:v>
      </x:c>
      <x:c r="G40" s="52" t="n">
        <x:v>448023</x:v>
      </x:c>
      <x:c r="H40" s="55" t="n">
        <x:v>0.06</x:v>
      </x:c>
      <x:c r="I40" s="52" t="n">
        <x:v>26881.38</x:v>
      </x:c>
      <x:c r="J40" s="46" t="str">
        <x:v>大型设备供应商</x:v>
      </x:c>
    </x:row>
    <x:row r="41" ht="22" customHeight="1">
      <x:c r="A41" s="46" t="str">
        <x:v>HIST0040</x:v>
      </x:c>
      <x:c r="B41" s="49" t="n">
        <x:v>46202</x:v>
      </x:c>
      <x:c r="C41" s="46" t="str">
        <x:v>杭州云启网络有限公司</x:v>
      </x:c>
      <x:c r="D41" s="46" t="str">
        <x:v>信息技术</x:v>
      </x:c>
      <x:c r="E41" s="46" t="str">
        <x:v>云服务</x:v>
      </x:c>
      <x:c r="F41" s="46" t="str">
        <x:v>云资源服务</x:v>
      </x:c>
      <x:c r="G41" s="52" t="n">
        <x:v>70033</x:v>
      </x:c>
      <x:c r="H41" s="55" t="n">
        <x:v>0.06</x:v>
      </x:c>
      <x:c r="I41" s="52" t="n">
        <x:v>4201.98</x:v>
      </x:c>
      <x:c r="J41" s="46" t="str">
        <x:v>云服务供应商</x:v>
      </x:c>
    </x:row>
    <x:row r="42" ht="22" customHeight="1">
      <x:c r="A42" s="46" t="str">
        <x:v>HIST0041</x:v>
      </x:c>
      <x:c r="B42" s="49" t="n">
        <x:v>46203</x:v>
      </x:c>
      <x:c r="C42" s="46" t="str">
        <x:v>上海智联数据有限公司</x:v>
      </x:c>
      <x:c r="D42" s="46" t="str">
        <x:v>信息技术</x:v>
      </x:c>
      <x:c r="E42" s="46" t="str">
        <x:v>数据服务</x:v>
      </x:c>
      <x:c r="F42" s="46" t="str">
        <x:v>数据分析服务</x:v>
      </x:c>
      <x:c r="G42" s="52" t="n">
        <x:v>104067</x:v>
      </x:c>
      <x:c r="H42" s="55" t="n">
        <x:v>0.06</x:v>
      </x:c>
      <x:c r="I42" s="52" t="n">
        <x:v>6244.02</x:v>
      </x:c>
      <x:c r="J42" s="46" t="str">
        <x:v>技术服务供应商</x:v>
      </x:c>
    </x:row>
    <x:row r="43" ht="22" customHeight="1">
      <x:c r="A43" s="47" t="str">
        <x:v>HIST0042</x:v>
      </x:c>
      <x:c r="B43" s="50" t="n">
        <x:v>46207</x:v>
      </x:c>
      <x:c r="C43" s="47" t="str">
        <x:v>北京华信科技有限公司</x:v>
      </x:c>
      <x:c r="D43" s="47" t="str">
        <x:v>信息技术</x:v>
      </x:c>
      <x:c r="E43" s="47" t="str">
        <x:v>软件服务</x:v>
      </x:c>
      <x:c r="F43" s="47" t="str">
        <x:v>企业软件授权服务</x:v>
      </x:c>
      <x:c r="G43" s="53" t="n">
        <x:v>42710</x:v>
      </x:c>
      <x:c r="H43" s="56" t="n">
        <x:v>0.06</x:v>
      </x:c>
      <x:c r="I43" s="53" t="n">
        <x:v>2562.6</x:v>
      </x:c>
      <x:c r="J43" s="47" t="str">
        <x:v>长期合作供应商</x:v>
      </x:c>
    </x:row>
  </x:sheetData>
  <x:pageMargins left="0.7" right="0.7" top="0.75" bottom="0.75" header="0.3" footer="0.3"/>
  <x:tableParts count="1">
    <x:tablePart xmlns:r="http://schemas.openxmlformats.org/officeDocument/2006/relationships" r:id="R65d5c179ed1c4d7c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4" hidden="0" customWidth="1"/>
    <x:col min="3" max="3" width="28" hidden="0" customWidth="1"/>
    <x:col min="4" max="4" width="16" hidden="0" customWidth="1"/>
  </x:cols>
  <x:sheetData>
    <x:row r="1" ht="30" customHeight="1">
      <x:c r="A1" s="38" t="str">
        <x:v>event_id</x:v>
      </x:c>
      <x:c r="B1" s="39" t="str">
        <x:v>event_date</x:v>
      </x:c>
      <x:c r="C1" s="39" t="str">
        <x:v>supplier_name</x:v>
      </x:c>
      <x:c r="D1" s="40" t="str">
        <x:v>event_type</x:v>
      </x:c>
    </x:row>
    <x:row r="2" ht="22" customHeight="1">
      <x:c r="A2" s="45" t="str">
        <x:v>EVT0001</x:v>
      </x:c>
      <x:c r="B2" s="48" t="n">
        <x:v>46192</x:v>
      </x:c>
      <x:c r="C2" s="45" t="str">
        <x:v>杭州云启网络有限公司</x:v>
      </x:c>
      <x:c r="D2" s="45" t="str">
        <x:v>历史开票</x:v>
      </x:c>
    </x:row>
    <x:row r="3" ht="22" customHeight="1">
      <x:c r="A3" s="46" t="str">
        <x:v>EVT0002</x:v>
      </x:c>
      <x:c r="B3" s="49" t="n">
        <x:v>46194</x:v>
      </x:c>
      <x:c r="C3" s="46" t="str">
        <x:v>杭州云启网络有限公司</x:v>
      </x:c>
      <x:c r="D3" s="46" t="str">
        <x:v>历史开票</x:v>
      </x:c>
    </x:row>
    <x:row r="4" ht="22" customHeight="1">
      <x:c r="A4" s="46" t="str">
        <x:v>EVT0003</x:v>
      </x:c>
      <x:c r="B4" s="49" t="n">
        <x:v>46196</x:v>
      </x:c>
      <x:c r="C4" s="46" t="str">
        <x:v>杭州云启网络有限公司</x:v>
      </x:c>
      <x:c r="D4" s="46" t="str">
        <x:v>历史开票</x:v>
      </x:c>
    </x:row>
    <x:row r="5" ht="22" customHeight="1">
      <x:c r="A5" s="46" t="str">
        <x:v>EVT0004</x:v>
      </x:c>
      <x:c r="B5" s="49" t="n">
        <x:v>46197</x:v>
      </x:c>
      <x:c r="C5" s="46" t="str">
        <x:v>合肥创新人工智能有限公司</x:v>
      </x:c>
      <x:c r="D5" s="46" t="str">
        <x:v>历史开票</x:v>
      </x:c>
    </x:row>
    <x:row r="6" ht="22" customHeight="1">
      <x:c r="A6" s="46" t="str">
        <x:v>EVT0005</x:v>
      </x:c>
      <x:c r="B6" s="49" t="n">
        <x:v>46198</x:v>
      </x:c>
      <x:c r="C6" s="46" t="str">
        <x:v>杭州云启网络有限公司</x:v>
      </x:c>
      <x:c r="D6" s="46" t="str">
        <x:v>历史开票</x:v>
      </x:c>
    </x:row>
    <x:row r="7" ht="22" customHeight="1">
      <x:c r="A7" s="46" t="str">
        <x:v>EVT0006</x:v>
      </x:c>
      <x:c r="B7" s="49" t="n">
        <x:v>46200</x:v>
      </x:c>
      <x:c r="C7" s="46" t="str">
        <x:v>杭州云启网络有限公司</x:v>
      </x:c>
      <x:c r="D7" s="46" t="str">
        <x:v>历史开票</x:v>
      </x:c>
    </x:row>
    <x:row r="8" ht="22" customHeight="1">
      <x:c r="A8" s="46" t="str">
        <x:v>EVT0007</x:v>
      </x:c>
      <x:c r="B8" s="49" t="n">
        <x:v>46202</x:v>
      </x:c>
      <x:c r="C8" s="46" t="str">
        <x:v>杭州云启网络有限公司</x:v>
      </x:c>
      <x:c r="D8" s="46" t="str">
        <x:v>历史开票</x:v>
      </x:c>
    </x:row>
    <x:row r="9" ht="22" customHeight="1">
      <x:c r="A9" s="46" t="str">
        <x:v>EVT0008</x:v>
      </x:c>
      <x:c r="B9" s="49" t="n">
        <x:v>46203</x:v>
      </x:c>
      <x:c r="C9" s="46" t="str">
        <x:v>广州恒远贸易有限公司</x:v>
      </x:c>
      <x:c r="D9" s="46" t="str">
        <x:v>历史开票</x:v>
      </x:c>
    </x:row>
    <x:row r="10" ht="22" customHeight="1">
      <x:c r="A10" s="46" t="str">
        <x:v>EVT0009</x:v>
      </x:c>
      <x:c r="B10" s="49" t="n">
        <x:v>46203</x:v>
      </x:c>
      <x:c r="C10" s="46" t="str">
        <x:v>合肥创新人工智能有限公司</x:v>
      </x:c>
      <x:c r="D10" s="46" t="str">
        <x:v>历史开票</x:v>
      </x:c>
    </x:row>
    <x:row r="11" ht="22" customHeight="1">
      <x:c r="A11" s="46" t="str">
        <x:v>EVT0010</x:v>
      </x:c>
      <x:c r="B11" s="49" t="n">
        <x:v>46204</x:v>
      </x:c>
      <x:c r="C11" s="46" t="str">
        <x:v>杭州云启网络有限公司</x:v>
      </x:c>
      <x:c r="D11" s="46" t="str">
        <x:v>历史开票</x:v>
      </x:c>
    </x:row>
    <x:row r="12" ht="22" customHeight="1">
      <x:c r="A12" s="46" t="str">
        <x:v>EVT0011</x:v>
      </x:c>
      <x:c r="B12" s="49" t="n">
        <x:v>46207</x:v>
      </x:c>
      <x:c r="C12" s="46" t="str">
        <x:v>杭州云启网络有限公司</x:v>
      </x:c>
      <x:c r="D12" s="46" t="str">
        <x:v>历史开票</x:v>
      </x:c>
    </x:row>
    <x:row r="13" ht="22" customHeight="1">
      <x:c r="A13" s="46" t="str">
        <x:v>EVT0012</x:v>
      </x:c>
      <x:c r="B13" s="49" t="n">
        <x:v>46208</x:v>
      </x:c>
      <x:c r="C13" s="46" t="str">
        <x:v>北京华信科技有限公司</x:v>
      </x:c>
      <x:c r="D13" s="46" t="str">
        <x:v>历史开票</x:v>
      </x:c>
    </x:row>
    <x:row r="14" ht="22" customHeight="1">
      <x:c r="A14" s="46" t="str">
        <x:v>EVT0013</x:v>
      </x:c>
      <x:c r="B14" s="49" t="n">
        <x:v>46208</x:v>
      </x:c>
      <x:c r="C14" s="46" t="str">
        <x:v>广州恒远贸易有限公司</x:v>
      </x:c>
      <x:c r="D14" s="46" t="str">
        <x:v>历史开票</x:v>
      </x:c>
    </x:row>
    <x:row r="15" ht="22" customHeight="1">
      <x:c r="A15" s="46" t="str">
        <x:v>EVT0014</x:v>
      </x:c>
      <x:c r="B15" s="49" t="n">
        <x:v>46209</x:v>
      </x:c>
      <x:c r="C15" s="46" t="str">
        <x:v>杭州云启网络有限公司</x:v>
      </x:c>
      <x:c r="D15" s="46" t="str">
        <x:v>历史开票</x:v>
      </x:c>
    </x:row>
    <x:row r="16" ht="22" customHeight="1">
      <x:c r="A16" s="46" t="str">
        <x:v>EVT0015</x:v>
      </x:c>
      <x:c r="B16" s="49" t="n">
        <x:v>46209</x:v>
      </x:c>
      <x:c r="C16" s="46" t="str">
        <x:v>合肥创新人工智能有限公司</x:v>
      </x:c>
      <x:c r="D16" s="46" t="str">
        <x:v>历史开票</x:v>
      </x:c>
    </x:row>
    <x:row r="17" ht="22" customHeight="1">
      <x:c r="A17" s="46" t="str">
        <x:v>EVT0016</x:v>
      </x:c>
      <x:c r="B17" s="49" t="n">
        <x:v>46211</x:v>
      </x:c>
      <x:c r="C17" s="46" t="str">
        <x:v>杭州云启网络有限公司</x:v>
      </x:c>
      <x:c r="D17" s="46" t="str">
        <x:v>历史开票</x:v>
      </x:c>
    </x:row>
    <x:row r="18" ht="22" customHeight="1">
      <x:c r="A18" s="46" t="str">
        <x:v>EVT0017</x:v>
      </x:c>
      <x:c r="B18" s="49" t="n">
        <x:v>46213</x:v>
      </x:c>
      <x:c r="C18" s="46" t="str">
        <x:v>北京华信科技有限公司</x:v>
      </x:c>
      <x:c r="D18" s="46" t="str">
        <x:v>历史开票</x:v>
      </x:c>
    </x:row>
    <x:row r="19" ht="22" customHeight="1">
      <x:c r="A19" s="46" t="str">
        <x:v>EVT0018</x:v>
      </x:c>
      <x:c r="B19" s="49" t="n">
        <x:v>46213</x:v>
      </x:c>
      <x:c r="C19" s="46" t="str">
        <x:v>杭州云启网络有限公司</x:v>
      </x:c>
      <x:c r="D19" s="46" t="str">
        <x:v>历史开票</x:v>
      </x:c>
    </x:row>
    <x:row r="20" ht="22" customHeight="1">
      <x:c r="A20" s="46" t="str">
        <x:v>EVT0019</x:v>
      </x:c>
      <x:c r="B20" s="49" t="n">
        <x:v>46214</x:v>
      </x:c>
      <x:c r="C20" s="46" t="str">
        <x:v>广州恒远贸易有限公司</x:v>
      </x:c>
      <x:c r="D20" s="46" t="str">
        <x:v>历史开票</x:v>
      </x:c>
    </x:row>
    <x:row r="21" ht="22" customHeight="1">
      <x:c r="A21" s="46" t="str">
        <x:v>EVT0020</x:v>
      </x:c>
      <x:c r="B21" s="49" t="n">
        <x:v>46214</x:v>
      </x:c>
      <x:c r="C21" s="46" t="str">
        <x:v>上海智联数据有限公司</x:v>
      </x:c>
      <x:c r="D21" s="46" t="str">
        <x:v>历史开票</x:v>
      </x:c>
    </x:row>
    <x:row r="22" ht="22" customHeight="1">
      <x:c r="A22" s="46" t="str">
        <x:v>EVT0021</x:v>
      </x:c>
      <x:c r="B22" s="49" t="n">
        <x:v>46215</x:v>
      </x:c>
      <x:c r="C22" s="46" t="str">
        <x:v>杭州云启网络有限公司</x:v>
      </x:c>
      <x:c r="D22" s="46" t="str">
        <x:v>历史开票</x:v>
      </x:c>
    </x:row>
    <x:row r="23" ht="22" customHeight="1">
      <x:c r="A23" s="46" t="str">
        <x:v>EVT0022</x:v>
      </x:c>
      <x:c r="B23" s="49" t="n">
        <x:v>46215</x:v>
      </x:c>
      <x:c r="C23" s="46" t="str">
        <x:v>合肥创新人工智能有限公司</x:v>
      </x:c>
      <x:c r="D23" s="46" t="str">
        <x:v>历史开票</x:v>
      </x:c>
    </x:row>
    <x:row r="24" ht="22" customHeight="1">
      <x:c r="A24" s="46" t="str">
        <x:v>EVT0023</x:v>
      </x:c>
      <x:c r="B24" s="49" t="n">
        <x:v>46217</x:v>
      </x:c>
      <x:c r="C24" s="46" t="str">
        <x:v>杭州云启网络有限公司</x:v>
      </x:c>
      <x:c r="D24" s="46" t="str">
        <x:v>历史开票</x:v>
      </x:c>
    </x:row>
    <x:row r="25" ht="22" customHeight="1">
      <x:c r="A25" s="46" t="str">
        <x:v>EVT0024</x:v>
      </x:c>
      <x:c r="B25" s="49" t="n">
        <x:v>46219</x:v>
      </x:c>
      <x:c r="C25" s="46" t="str">
        <x:v>北京华信科技有限公司</x:v>
      </x:c>
      <x:c r="D25" s="46" t="str">
        <x:v>历史开票</x:v>
      </x:c>
    </x:row>
    <x:row r="26" ht="22" customHeight="1">
      <x:c r="A26" s="46" t="str">
        <x:v>EVT0025</x:v>
      </x:c>
      <x:c r="B26" s="49" t="n">
        <x:v>46219</x:v>
      </x:c>
      <x:c r="C26" s="46" t="str">
        <x:v>广州恒远贸易有限公司</x:v>
      </x:c>
      <x:c r="D26" s="46" t="str">
        <x:v>历史开票</x:v>
      </x:c>
    </x:row>
    <x:row r="27" ht="22" customHeight="1">
      <x:c r="A27" s="46" t="str">
        <x:v>EVT0026</x:v>
      </x:c>
      <x:c r="B27" s="49" t="n">
        <x:v>46219</x:v>
      </x:c>
      <x:c r="C27" s="46" t="str">
        <x:v>杭州云启网络有限公司</x:v>
      </x:c>
      <x:c r="D27" s="46" t="str">
        <x:v>历史开票</x:v>
      </x:c>
    </x:row>
    <x:row r="28" ht="22" customHeight="1">
      <x:c r="A28" s="46" t="str">
        <x:v>EVT0027</x:v>
      </x:c>
      <x:c r="B28" s="49" t="n">
        <x:v>46220</x:v>
      </x:c>
      <x:c r="C28" s="46" t="str">
        <x:v>北京华信科技有限公司</x:v>
      </x:c>
      <x:c r="D28" s="46" t="str">
        <x:v>历史开票</x:v>
      </x:c>
    </x:row>
    <x:row r="29" ht="22" customHeight="1">
      <x:c r="A29" s="46" t="str">
        <x:v>EVT0028</x:v>
      </x:c>
      <x:c r="B29" s="49" t="n">
        <x:v>46220</x:v>
      </x:c>
      <x:c r="C29" s="46" t="str">
        <x:v>上海智联数据有限公司</x:v>
      </x:c>
      <x:c r="D29" s="46" t="str">
        <x:v>历史开票</x:v>
      </x:c>
    </x:row>
    <x:row r="30" ht="22" customHeight="1">
      <x:c r="A30" s="46" t="str">
        <x:v>EVT0029</x:v>
      </x:c>
      <x:c r="B30" s="49" t="n">
        <x:v>46221</x:v>
      </x:c>
      <x:c r="C30" s="46" t="str">
        <x:v>合肥创新人工智能有限公司</x:v>
      </x:c>
      <x:c r="D30" s="46" t="str">
        <x:v>历史开票</x:v>
      </x:c>
    </x:row>
    <x:row r="31" ht="22" customHeight="1">
      <x:c r="A31" s="46" t="str">
        <x:v>EVT0030</x:v>
      </x:c>
      <x:c r="B31" s="49" t="n">
        <x:v>46222</x:v>
      </x:c>
      <x:c r="C31" s="46" t="str">
        <x:v>北京华信科技有限公司</x:v>
      </x:c>
      <x:c r="D31" s="46" t="str">
        <x:v>历史开票</x:v>
      </x:c>
    </x:row>
    <x:row r="32" ht="22" customHeight="1">
      <x:c r="A32" s="46" t="str">
        <x:v>EVT0031</x:v>
      </x:c>
      <x:c r="B32" s="49" t="n">
        <x:v>46224</x:v>
      </x:c>
      <x:c r="C32" s="46" t="str">
        <x:v>北京华信科技有限公司</x:v>
      </x:c>
      <x:c r="D32" s="46" t="str">
        <x:v>历史开票</x:v>
      </x:c>
    </x:row>
    <x:row r="33" ht="22" customHeight="1">
      <x:c r="A33" s="46" t="str">
        <x:v>EVT0032</x:v>
      </x:c>
      <x:c r="B33" s="49" t="n">
        <x:v>46226</x:v>
      </x:c>
      <x:c r="C33" s="46" t="str">
        <x:v>北京华信科技有限公司</x:v>
      </x:c>
      <x:c r="D33" s="46" t="str">
        <x:v>历史开票</x:v>
      </x:c>
    </x:row>
    <x:row r="34" ht="22" customHeight="1">
      <x:c r="A34" s="46" t="str">
        <x:v>EVT0033</x:v>
      </x:c>
      <x:c r="B34" s="49" t="n">
        <x:v>46227</x:v>
      </x:c>
      <x:c r="C34" s="46" t="str">
        <x:v>上海智联数据有限公司</x:v>
      </x:c>
      <x:c r="D34" s="46" t="str">
        <x:v>历史开票</x:v>
      </x:c>
    </x:row>
    <x:row r="35" ht="22" customHeight="1">
      <x:c r="A35" s="46" t="str">
        <x:v>EVT0034</x:v>
      </x:c>
      <x:c r="B35" s="49" t="n">
        <x:v>46228</x:v>
      </x:c>
      <x:c r="C35" s="46" t="str">
        <x:v>北京华信科技有限公司</x:v>
      </x:c>
      <x:c r="D35" s="46" t="str">
        <x:v>历史开票</x:v>
      </x:c>
    </x:row>
    <x:row r="36" ht="22" customHeight="1">
      <x:c r="A36" s="46" t="str">
        <x:v>EVT0035</x:v>
      </x:c>
      <x:c r="B36" s="49" t="n">
        <x:v>46230</x:v>
      </x:c>
      <x:c r="C36" s="46" t="str">
        <x:v>北京华信科技有限公司</x:v>
      </x:c>
      <x:c r="D36" s="46" t="str">
        <x:v>历史开票</x:v>
      </x:c>
    </x:row>
    <x:row r="37" ht="22" customHeight="1">
      <x:c r="A37" s="46" t="str">
        <x:v>EVT0036</x:v>
      </x:c>
      <x:c r="B37" s="49" t="n">
        <x:v>46230</x:v>
      </x:c>
      <x:c r="C37" s="46" t="str">
        <x:v>杭州云启网络有限公司</x:v>
      </x:c>
      <x:c r="D37" s="46" t="str">
        <x:v>历史开票</x:v>
      </x:c>
    </x:row>
    <x:row r="38" ht="22" customHeight="1">
      <x:c r="A38" s="46" t="str">
        <x:v>EVT0037</x:v>
      </x:c>
      <x:c r="B38" s="49" t="n">
        <x:v>46232</x:v>
      </x:c>
      <x:c r="C38" s="46" t="str">
        <x:v>北京华信科技有限公司</x:v>
      </x:c>
      <x:c r="D38" s="46" t="str">
        <x:v>历史开票</x:v>
      </x:c>
    </x:row>
    <x:row r="39" ht="22" customHeight="1">
      <x:c r="A39" s="46" t="str">
        <x:v>EVT0038</x:v>
      </x:c>
      <x:c r="B39" s="49" t="n">
        <x:v>46234</x:v>
      </x:c>
      <x:c r="C39" s="46" t="str">
        <x:v>北京华信科技有限公司</x:v>
      </x:c>
      <x:c r="D39" s="46" t="str">
        <x:v>历史开票</x:v>
      </x:c>
    </x:row>
    <x:row r="40" ht="22" customHeight="1">
      <x:c r="A40" s="46" t="str">
        <x:v>EVT0039</x:v>
      </x:c>
      <x:c r="B40" s="49" t="n">
        <x:v>46234</x:v>
      </x:c>
      <x:c r="C40" s="46" t="str">
        <x:v>广州恒远贸易有限公司</x:v>
      </x:c>
      <x:c r="D40" s="46" t="str">
        <x:v>历史开票</x:v>
      </x:c>
    </x:row>
    <x:row r="41" ht="22" customHeight="1">
      <x:c r="A41" s="46" t="str">
        <x:v>EVT0040</x:v>
      </x:c>
      <x:c r="B41" s="49" t="n">
        <x:v>46234</x:v>
      </x:c>
      <x:c r="C41" s="46" t="str">
        <x:v>上海智联数据有限公司</x:v>
      </x:c>
      <x:c r="D41" s="46" t="str">
        <x:v>历史开票</x:v>
      </x:c>
    </x:row>
    <x:row r="42" ht="22" customHeight="1">
      <x:c r="A42" s="46" t="str">
        <x:v>EVT0041</x:v>
      </x:c>
      <x:c r="B42" s="49" t="n">
        <x:v>46236</x:v>
      </x:c>
      <x:c r="C42" s="46" t="str">
        <x:v>北京华信科技有限公司</x:v>
      </x:c>
      <x:c r="D42" s="46" t="str">
        <x:v>历史开票</x:v>
      </x:c>
    </x:row>
    <x:row r="43" ht="22" customHeight="1">
      <x:c r="A43" s="46" t="str">
        <x:v>EVT0042</x:v>
      </x:c>
      <x:c r="B43" s="49" t="n">
        <x:v>46236</x:v>
      </x:c>
      <x:c r="C43" s="46" t="str">
        <x:v>深圳云创设备有限公司</x:v>
      </x:c>
      <x:c r="D43" s="46" t="str">
        <x:v>历史开票</x:v>
      </x:c>
    </x:row>
    <x:row r="44" ht="22" customHeight="1">
      <x:c r="A44" s="46" t="str">
        <x:v>EVT0043</x:v>
      </x:c>
      <x:c r="B44" s="49" t="n">
        <x:v>46239</x:v>
      </x:c>
      <x:c r="C44" s="46" t="str">
        <x:v>深圳云创设备有限公司</x:v>
      </x:c>
      <x:c r="D44" s="46" t="str">
        <x:v>历史开票</x:v>
      </x:c>
    </x:row>
    <x:row r="45" ht="22" customHeight="1">
      <x:c r="A45" s="46" t="str">
        <x:v>EVT0044</x:v>
      </x:c>
      <x:c r="B45" s="49" t="n">
        <x:v>46240</x:v>
      </x:c>
      <x:c r="C45" s="46" t="str">
        <x:v>杭州云启网络有限公司</x:v>
      </x:c>
      <x:c r="D45" s="46" t="str">
        <x:v>历史开票</x:v>
      </x:c>
    </x:row>
    <x:row r="46" ht="22" customHeight="1">
      <x:c r="A46" s="46" t="str">
        <x:v>EVT0045</x:v>
      </x:c>
      <x:c r="B46" s="49" t="n">
        <x:v>46241</x:v>
      </x:c>
      <x:c r="C46" s="46" t="str">
        <x:v>广州恒远贸易有限公司</x:v>
      </x:c>
      <x:c r="D46" s="46" t="str">
        <x:v>历史开票</x:v>
      </x:c>
    </x:row>
    <x:row r="47" ht="22" customHeight="1">
      <x:c r="A47" s="46" t="str">
        <x:v>EVT0046</x:v>
      </x:c>
      <x:c r="B47" s="49" t="n">
        <x:v>46242</x:v>
      </x:c>
      <x:c r="C47" s="46" t="str">
        <x:v>深圳云创设备有限公司</x:v>
      </x:c>
      <x:c r="D47" s="46" t="str">
        <x:v>历史开票</x:v>
      </x:c>
    </x:row>
    <x:row r="48" ht="22" customHeight="1">
      <x:c r="A48" s="46" t="str">
        <x:v>EVT0047</x:v>
      </x:c>
      <x:c r="B48" s="49" t="n">
        <x:v>46245</x:v>
      </x:c>
      <x:c r="C48" s="46" t="str">
        <x:v>上海智联数据有限公司</x:v>
      </x:c>
      <x:c r="D48" s="46" t="str">
        <x:v>历史开票</x:v>
      </x:c>
    </x:row>
    <x:row r="49" ht="22" customHeight="1">
      <x:c r="A49" s="46" t="str">
        <x:v>EVT0048</x:v>
      </x:c>
      <x:c r="B49" s="49" t="n">
        <x:v>46245</x:v>
      </x:c>
      <x:c r="C49" s="46" t="str">
        <x:v>深圳云创设备有限公司</x:v>
      </x:c>
      <x:c r="D49" s="46" t="str">
        <x:v>历史开票</x:v>
      </x:c>
    </x:row>
    <x:row r="50" ht="22" customHeight="1">
      <x:c r="A50" s="46" t="str">
        <x:v>EVT0049</x:v>
      </x:c>
      <x:c r="B50" s="49" t="n">
        <x:v>46247</x:v>
      </x:c>
      <x:c r="C50" s="46" t="str">
        <x:v>合肥创新人工智能有限公司</x:v>
      </x:c>
      <x:c r="D50" s="46" t="str">
        <x:v>历史开票</x:v>
      </x:c>
    </x:row>
    <x:row r="51" ht="22" customHeight="1">
      <x:c r="A51" s="46" t="str">
        <x:v>EVT0050</x:v>
      </x:c>
      <x:c r="B51" s="49" t="n">
        <x:v>46248</x:v>
      </x:c>
      <x:c r="C51" s="46" t="str">
        <x:v>广州恒远贸易有限公司</x:v>
      </x:c>
      <x:c r="D51" s="46" t="str">
        <x:v>历史开票</x:v>
      </x:c>
    </x:row>
    <x:row r="52" ht="22" customHeight="1">
      <x:c r="A52" s="46" t="str">
        <x:v>EVT0051</x:v>
      </x:c>
      <x:c r="B52" s="49" t="n">
        <x:v>46249</x:v>
      </x:c>
      <x:c r="C52" s="46" t="str">
        <x:v>合肥创新人工智能有限公司</x:v>
      </x:c>
      <x:c r="D52" s="46" t="str">
        <x:v>历史开票</x:v>
      </x:c>
    </x:row>
    <x:row r="53" ht="22" customHeight="1">
      <x:c r="A53" s="46" t="str">
        <x:v>EVT0052</x:v>
      </x:c>
      <x:c r="B53" s="49" t="n">
        <x:v>46250</x:v>
      </x:c>
      <x:c r="C53" s="46" t="str">
        <x:v>杭州云启网络有限公司</x:v>
      </x:c>
      <x:c r="D53" s="46" t="str">
        <x:v>历史开票</x:v>
      </x:c>
    </x:row>
    <x:row r="54" ht="22" customHeight="1">
      <x:c r="A54" s="46" t="str">
        <x:v>EVT0053</x:v>
      </x:c>
      <x:c r="B54" s="49" t="n">
        <x:v>46250</x:v>
      </x:c>
      <x:c r="C54" s="46" t="str">
        <x:v>深圳云创设备有限公司</x:v>
      </x:c>
      <x:c r="D54" s="46" t="str">
        <x:v>历史开票</x:v>
      </x:c>
    </x:row>
    <x:row r="55" ht="22" customHeight="1">
      <x:c r="A55" s="46" t="str">
        <x:v>EVT0054</x:v>
      </x:c>
      <x:c r="B55" s="49" t="n">
        <x:v>46251</x:v>
      </x:c>
      <x:c r="C55" s="46" t="str">
        <x:v>合肥创新人工智能有限公司</x:v>
      </x:c>
      <x:c r="D55" s="46" t="str">
        <x:v>历史开票</x:v>
      </x:c>
    </x:row>
    <x:row r="56" ht="22" customHeight="1">
      <x:c r="A56" s="46" t="str">
        <x:v>EVT0055</x:v>
      </x:c>
      <x:c r="B56" s="49" t="n">
        <x:v>46251</x:v>
      </x:c>
      <x:c r="C56" s="46" t="str">
        <x:v>深圳云创设备有限公司</x:v>
      </x:c>
      <x:c r="D56" s="46" t="str">
        <x:v>历史开票</x:v>
      </x:c>
    </x:row>
    <x:row r="57" ht="22" customHeight="1">
      <x:c r="A57" s="46" t="str">
        <x:v>EVT0056</x:v>
      </x:c>
      <x:c r="B57" s="49" t="n">
        <x:v>46252</x:v>
      </x:c>
      <x:c r="C57" s="46" t="str">
        <x:v>深圳云创设备有限公司</x:v>
      </x:c>
      <x:c r="D57" s="46" t="str">
        <x:v>历史开票</x:v>
      </x:c>
    </x:row>
    <x:row r="58" ht="22" customHeight="1">
      <x:c r="A58" s="46" t="str">
        <x:v>EVT0057</x:v>
      </x:c>
      <x:c r="B58" s="49" t="n">
        <x:v>46253</x:v>
      </x:c>
      <x:c r="C58" s="46" t="str">
        <x:v>合肥创新人工智能有限公司</x:v>
      </x:c>
      <x:c r="D58" s="46" t="str">
        <x:v>历史开票</x:v>
      </x:c>
    </x:row>
    <x:row r="59" ht="22" customHeight="1">
      <x:c r="A59" s="46" t="str">
        <x:v>EVT0058</x:v>
      </x:c>
      <x:c r="B59" s="49" t="n">
        <x:v>46254</x:v>
      </x:c>
      <x:c r="C59" s="46" t="str">
        <x:v>深圳云创设备有限公司</x:v>
      </x:c>
      <x:c r="D59" s="46" t="str">
        <x:v>历史开票</x:v>
      </x:c>
    </x:row>
    <x:row r="60" ht="22" customHeight="1">
      <x:c r="A60" s="46" t="str">
        <x:v>EVT0059</x:v>
      </x:c>
      <x:c r="B60" s="49" t="n">
        <x:v>46255</x:v>
      </x:c>
      <x:c r="C60" s="46" t="str">
        <x:v>深圳云创设备有限公司</x:v>
      </x:c>
      <x:c r="D60" s="46" t="str">
        <x:v>历史开票</x:v>
      </x:c>
    </x:row>
    <x:row r="61" ht="22" customHeight="1">
      <x:c r="A61" s="46" t="str">
        <x:v>EVT0060</x:v>
      </x:c>
      <x:c r="B61" s="49" t="n">
        <x:v>46256</x:v>
      </x:c>
      <x:c r="C61" s="46" t="str">
        <x:v>合肥创新人工智能有限公司</x:v>
      </x:c>
      <x:c r="D61" s="46" t="str">
        <x:v>历史开票</x:v>
      </x:c>
    </x:row>
    <x:row r="62" ht="22" customHeight="1">
      <x:c r="A62" s="46" t="str">
        <x:v>EVT0061</x:v>
      </x:c>
      <x:c r="B62" s="49" t="n">
        <x:v>46257</x:v>
      </x:c>
      <x:c r="C62" s="46" t="str">
        <x:v>深圳云创设备有限公司</x:v>
      </x:c>
      <x:c r="D62" s="46" t="str">
        <x:v>历史开票</x:v>
      </x:c>
    </x:row>
    <x:row r="63" ht="22" customHeight="1">
      <x:c r="A63" s="46" t="str">
        <x:v>EVT0062</x:v>
      </x:c>
      <x:c r="B63" s="49" t="n">
        <x:v>46258</x:v>
      </x:c>
      <x:c r="C63" s="46" t="str">
        <x:v>合肥创新人工智能有限公司</x:v>
      </x:c>
      <x:c r="D63" s="46" t="str">
        <x:v>历史开票</x:v>
      </x:c>
    </x:row>
    <x:row r="64" ht="22" customHeight="1">
      <x:c r="A64" s="46" t="str">
        <x:v>EVT0063</x:v>
      </x:c>
      <x:c r="B64" s="49" t="n">
        <x:v>46258</x:v>
      </x:c>
      <x:c r="C64" s="46" t="str">
        <x:v>上海智联数据有限公司</x:v>
      </x:c>
      <x:c r="D64" s="46" t="str">
        <x:v>历史开票</x:v>
      </x:c>
    </x:row>
    <x:row r="65" ht="22" customHeight="1">
      <x:c r="A65" s="46" t="str">
        <x:v>EVT0064</x:v>
      </x:c>
      <x:c r="B65" s="49" t="n">
        <x:v>46258</x:v>
      </x:c>
      <x:c r="C65" s="46" t="str">
        <x:v>深圳云创设备有限公司</x:v>
      </x:c>
      <x:c r="D65" s="46" t="str">
        <x:v>历史开票</x:v>
      </x:c>
    </x:row>
    <x:row r="66" ht="22" customHeight="1">
      <x:c r="A66" s="46" t="str">
        <x:v>EVT0065</x:v>
      </x:c>
      <x:c r="B66" s="49" t="n">
        <x:v>46260</x:v>
      </x:c>
      <x:c r="C66" s="46" t="str">
        <x:v>合肥创新人工智能有限公司</x:v>
      </x:c>
      <x:c r="D66" s="46" t="str">
        <x:v>历史开票</x:v>
      </x:c>
    </x:row>
    <x:row r="67" ht="22" customHeight="1">
      <x:c r="A67" s="46" t="str">
        <x:v>EVT0066</x:v>
      </x:c>
      <x:c r="B67" s="49" t="n">
        <x:v>46260</x:v>
      </x:c>
      <x:c r="C67" s="46" t="str">
        <x:v>深圳云创设备有限公司</x:v>
      </x:c>
      <x:c r="D67" s="46" t="str">
        <x:v>历史开票</x:v>
      </x:c>
    </x:row>
    <x:row r="68" ht="22" customHeight="1">
      <x:c r="A68" s="46" t="str">
        <x:v>EVT0067</x:v>
      </x:c>
      <x:c r="B68" s="49" t="n">
        <x:v>46261</x:v>
      </x:c>
      <x:c r="C68" s="46" t="str">
        <x:v>深圳云创设备有限公司</x:v>
      </x:c>
      <x:c r="D68" s="46" t="str">
        <x:v>历史开票</x:v>
      </x:c>
    </x:row>
    <x:row r="69" ht="22" customHeight="1">
      <x:c r="A69" s="46" t="str">
        <x:v>EVT0068</x:v>
      </x:c>
      <x:c r="B69" s="49" t="n">
        <x:v>46263</x:v>
      </x:c>
      <x:c r="C69" s="46" t="str">
        <x:v>合肥创新人工智能有限公司</x:v>
      </x:c>
      <x:c r="D69" s="46" t="str">
        <x:v>历史开票</x:v>
      </x:c>
    </x:row>
    <x:row r="70" ht="22" customHeight="1">
      <x:c r="A70" s="46" t="str">
        <x:v>EVT0069</x:v>
      </x:c>
      <x:c r="B70" s="49" t="n">
        <x:v>46263</x:v>
      </x:c>
      <x:c r="C70" s="46" t="str">
        <x:v>深圳云创设备有限公司</x:v>
      </x:c>
      <x:c r="D70" s="46" t="str">
        <x:v>历史开票</x:v>
      </x:c>
    </x:row>
    <x:row r="71" ht="22" customHeight="1">
      <x:c r="A71" s="46" t="str">
        <x:v>EVT0070</x:v>
      </x:c>
      <x:c r="B71" s="49" t="n">
        <x:v>46264</x:v>
      </x:c>
      <x:c r="C71" s="46" t="str">
        <x:v>深圳云创设备有限公司</x:v>
      </x:c>
      <x:c r="D71" s="46" t="str">
        <x:v>历史开票</x:v>
      </x:c>
    </x:row>
    <x:row r="72" ht="22" customHeight="1">
      <x:c r="A72" s="46" t="str">
        <x:v>EVT0071</x:v>
      </x:c>
      <x:c r="B72" s="49" t="n">
        <x:v>46265</x:v>
      </x:c>
      <x:c r="C72" s="46" t="str">
        <x:v>合肥创新人工智能有限公司</x:v>
      </x:c>
      <x:c r="D72" s="46" t="str">
        <x:v>历史开票</x:v>
      </x:c>
    </x:row>
    <x:row r="73" ht="22" customHeight="1">
      <x:c r="A73" s="46" t="str">
        <x:v>EVT0072</x:v>
      </x:c>
      <x:c r="B73" s="49" t="n">
        <x:v>46267</x:v>
      </x:c>
      <x:c r="C73" s="46" t="str">
        <x:v>合肥创新人工智能有限公司</x:v>
      </x:c>
      <x:c r="D73" s="46" t="str">
        <x:v>历史开票</x:v>
      </x:c>
    </x:row>
    <x:row r="74" ht="22" customHeight="1">
      <x:c r="A74" s="46" t="str">
        <x:v>EVT0073</x:v>
      </x:c>
      <x:c r="B74" s="49" t="n">
        <x:v>46270</x:v>
      </x:c>
      <x:c r="C74" s="46" t="str">
        <x:v>合肥创新人工智能有限公司</x:v>
      </x:c>
      <x:c r="D74" s="46" t="str">
        <x:v>历史开票</x:v>
      </x:c>
    </x:row>
    <x:row r="75" ht="22" customHeight="1">
      <x:c r="A75" s="46" t="str">
        <x:v>EVT0074</x:v>
      </x:c>
      <x:c r="B75" s="49" t="n">
        <x:v>46272</x:v>
      </x:c>
      <x:c r="C75" s="46" t="str">
        <x:v>合肥创新人工智能有限公司</x:v>
      </x:c>
      <x:c r="D75" s="46" t="str">
        <x:v>历史开票</x:v>
      </x:c>
    </x:row>
    <x:row r="76" ht="22" customHeight="1">
      <x:c r="A76" s="47" t="str">
        <x:v>EVT0075</x:v>
      </x:c>
      <x:c r="B76" s="50" t="n">
        <x:v>46274</x:v>
      </x:c>
      <x:c r="C76" s="47" t="str">
        <x:v>合肥创新人工智能有限公司</x:v>
      </x:c>
      <x:c r="D76" s="47" t="str">
        <x:v>历史开票</x:v>
      </x:c>
    </x:row>
  </x:sheetData>
  <x:pageMargins left="0.7" right="0.7" top="0.75" bottom="0.75" header="0.3" footer="0.3"/>
  <x:tableParts count="1">
    <x:tablePart xmlns:r="http://schemas.openxmlformats.org/officeDocument/2006/relationships" r:id="R2a2757d7c7c34902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14" hidden="0" customWidth="1"/>
    <x:col min="3" max="3" width="26" hidden="0" customWidth="1"/>
    <x:col min="4" max="4" width="16" hidden="0" customWidth="1"/>
    <x:col min="5" max="5" width="18" hidden="0" customWidth="1"/>
    <x:col min="6" max="6" width="26" hidden="0" customWidth="1"/>
    <x:col min="7" max="7" width="16" hidden="0" customWidth="1"/>
    <x:col min="8" max="8" width="11" hidden="0" customWidth="1"/>
    <x:col min="9" max="9" width="14" hidden="0" customWidth="1"/>
    <x:col min="10" max="10" width="23" hidden="0" customWidth="1"/>
    <x:col min="11" max="11" width="28" hidden="0" customWidth="1"/>
  </x:cols>
  <x:sheetData>
    <x:row r="1" ht="30" customHeight="1">
      <x:c r="A1" s="38" t="str">
        <x:v>invoice_id</x:v>
      </x:c>
      <x:c r="B1" s="39" t="str">
        <x:v>invoice_date</x:v>
      </x:c>
      <x:c r="C1" s="39" t="str">
        <x:v>supplier_name</x:v>
      </x:c>
      <x:c r="D1" s="39" t="str">
        <x:v>industry</x:v>
      </x:c>
      <x:c r="E1" s="39" t="str">
        <x:v>product_category</x:v>
      </x:c>
      <x:c r="F1" s="39" t="str">
        <x:v>product_name</x:v>
      </x:c>
      <x:c r="G1" s="39" t="str">
        <x:v>invoice_amount</x:v>
      </x:c>
      <x:c r="H1" s="39" t="str">
        <x:v>tax_rate</x:v>
      </x:c>
      <x:c r="I1" s="39" t="str">
        <x:v>tax_amount</x:v>
      </x:c>
      <x:c r="J1" s="39" t="str">
        <x:v>recent_30d_invoice_count</x:v>
      </x:c>
      <x:c r="K1" s="40" t="str">
        <x:v>supplier_profile</x:v>
      </x:c>
    </x:row>
    <x:row r="2" ht="22" customHeight="1">
      <x:c r="A2" s="45" t="str">
        <x:v>TEST001</x:v>
      </x:c>
      <x:c r="B2" s="48" t="n">
        <x:v>46218</x:v>
      </x:c>
      <x:c r="C2" s="45" t="str">
        <x:v>北京华信科技有限公司</x:v>
      </x:c>
      <x:c r="D2" s="45" t="str">
        <x:v>信息技术</x:v>
      </x:c>
      <x:c r="E2" s="45" t="str">
        <x:v>软件服务</x:v>
      </x:c>
      <x:c r="F2" s="45" t="str">
        <x:v>企业软件授权服务</x:v>
      </x:c>
      <x:c r="G2" s="51" t="n">
        <x:v>63567.35</x:v>
      </x:c>
      <x:c r="H2" s="54" t="n">
        <x:v>0.06</x:v>
      </x:c>
      <x:c r="I2" s="51" t="n">
        <x:f>ROUND(G2*H2,2)</x:f>
        <x:v>3814.04</x:v>
      </x:c>
      <x:c r="J2" s="45" t="n">
        <x:f>COUNTIFS('开票事件日志'!$C$2:$C$76,C2,'开票事件日志'!$B$2:$B$76,"&gt;="&amp;B2-30,'开票事件日志'!$B$2:$B$76,"&lt;"&amp;B2)</x:f>
        <x:v>2</x:v>
      </x:c>
      <x:c r="K2" s="45" t="str">
        <x:v>长期合作供应商</x:v>
      </x:c>
    </x:row>
    <x:row r="3" ht="22" customHeight="1">
      <x:c r="A3" s="46" t="str">
        <x:v>TEST002</x:v>
      </x:c>
      <x:c r="B3" s="49" t="n">
        <x:v>46222</x:v>
      </x:c>
      <x:c r="C3" s="46" t="str">
        <x:v>杭州云启网络有限公司</x:v>
      </x:c>
      <x:c r="D3" s="46" t="str">
        <x:v>信息技术</x:v>
      </x:c>
      <x:c r="E3" s="46" t="str">
        <x:v>云服务</x:v>
      </x:c>
      <x:c r="F3" s="46" t="str">
        <x:v>云资源服务</x:v>
      </x:c>
      <x:c r="G3" s="52" t="n">
        <x:v>500000</x:v>
      </x:c>
      <x:c r="H3" s="55" t="n">
        <x:v>0.06</x:v>
      </x:c>
      <x:c r="I3" s="52" t="n">
        <x:f>ROUND(G3*H3,2)</x:f>
        <x:v>30000</x:v>
      </x:c>
      <x:c r="J3" s="46" t="n">
        <x:f>COUNTIFS('开票事件日志'!$C$2:$C$76,C3,'开票事件日志'!$B$2:$B$76,"&gt;="&amp;B3-30,'开票事件日志'!$B$2:$B$76,"&lt;"&amp;B3)</x:f>
        <x:v>14</x:v>
      </x:c>
      <x:c r="K3" s="46" t="str">
        <x:v>云服务供应商</x:v>
      </x:c>
    </x:row>
    <x:row r="4" ht="22" customHeight="1">
      <x:c r="A4" s="46" t="str">
        <x:v>TEST003</x:v>
      </x:c>
      <x:c r="B4" s="49" t="n">
        <x:v>46227</x:v>
      </x:c>
      <x:c r="C4" s="46" t="str">
        <x:v>合肥创新人工智能有限公司</x:v>
      </x:c>
      <x:c r="D4" s="46" t="str">
        <x:v>人工智能</x:v>
      </x:c>
      <x:c r="E4" s="46" t="str">
        <x:v>AI服务</x:v>
      </x:c>
      <x:c r="F4" s="46" t="str">
        <x:v>算法模型开发</x:v>
      </x:c>
      <x:c r="G4" s="52" t="n">
        <x:v>234712</x:v>
      </x:c>
      <x:c r="H4" s="55" t="n">
        <x:v>0.06</x:v>
      </x:c>
      <x:c r="I4" s="52" t="n">
        <x:f>ROUND(G4*H4,2)</x:f>
        <x:v>14082.72</x:v>
      </x:c>
      <x:c r="J4" s="46" t="n">
        <x:f>COUNTIFS('开票事件日志'!$C$2:$C$76,C4,'开票事件日志'!$B$2:$B$76,"&gt;="&amp;B4-30,'开票事件日志'!$B$2:$B$76,"&lt;"&amp;B4)</x:f>
        <x:v>5</x:v>
      </x:c>
      <x:c r="K4" s="46" t="str">
        <x:v>高价值供应商</x:v>
      </x:c>
    </x:row>
    <x:row r="5" ht="22" customHeight="1">
      <x:c r="A5" s="46" t="str">
        <x:v>TEST004</x:v>
      </x:c>
      <x:c r="B5" s="49" t="n">
        <x:v>46233</x:v>
      </x:c>
      <x:c r="C5" s="46" t="str">
        <x:v>广州恒远贸易有限公司</x:v>
      </x:c>
      <x:c r="D5" s="46" t="str">
        <x:v>贸易</x:v>
      </x:c>
      <x:c r="E5" s="46" t="str">
        <x:v>办公用品</x:v>
      </x:c>
      <x:c r="F5" s="46" t="str">
        <x:v>办公耗材</x:v>
      </x:c>
      <x:c r="G5" s="52" t="n">
        <x:v>16188.95</x:v>
      </x:c>
      <x:c r="H5" s="55" t="n">
        <x:v>0.06</x:v>
      </x:c>
      <x:c r="I5" s="52" t="n">
        <x:f>ROUND(G5*H5,2)</x:f>
        <x:v>971.34</x:v>
      </x:c>
      <x:c r="J5" s="46" t="n">
        <x:f>COUNTIFS('开票事件日志'!$C$2:$C$76,C5,'开票事件日志'!$B$2:$B$76,"&gt;="&amp;B5-30,'开票事件日志'!$B$2:$B$76,"&lt;"&amp;B5)</x:f>
        <x:v>4</x:v>
      </x:c>
      <x:c r="K5" s="46" t="str">
        <x:v>高频供应商</x:v>
      </x:c>
    </x:row>
    <x:row r="6" ht="22" customHeight="1">
      <x:c r="A6" s="46" t="str">
        <x:v>TEST005</x:v>
      </x:c>
      <x:c r="B6" s="49" t="n">
        <x:v>46238</x:v>
      </x:c>
      <x:c r="C6" s="46" t="str">
        <x:v>北京华信科技有限公司</x:v>
      </x:c>
      <x:c r="D6" s="46" t="str">
        <x:v>信息技术</x:v>
      </x:c>
      <x:c r="E6" s="46" t="str">
        <x:v>软件服务</x:v>
      </x:c>
      <x:c r="F6" s="46" t="str">
        <x:v>企业软件授权服务</x:v>
      </x:c>
      <x:c r="G6" s="52" t="n">
        <x:v>54381.04</x:v>
      </x:c>
      <x:c r="H6" s="55" t="n">
        <x:v>0.06</x:v>
      </x:c>
      <x:c r="I6" s="52" t="n">
        <x:f>ROUND(G6*H6,2)</x:f>
        <x:v>3262.86</x:v>
      </x:c>
      <x:c r="J6" s="46" t="n">
        <x:f>COUNTIFS('开票事件日志'!$C$2:$C$76,C6,'开票事件日志'!$B$2:$B$76,"&gt;="&amp;B6-30,'开票事件日志'!$B$2:$B$76,"&lt;"&amp;B6)</x:f>
        <x:v>12</x:v>
      </x:c>
      <x:c r="K6" s="46" t="str">
        <x:v>长期合作供应商</x:v>
      </x:c>
    </x:row>
    <x:row r="7" ht="22" customHeight="1">
      <x:c r="A7" s="46" t="str">
        <x:v>TEST006</x:v>
      </x:c>
      <x:c r="B7" s="49" t="n">
        <x:v>46244</x:v>
      </x:c>
      <x:c r="C7" s="46" t="str">
        <x:v>上海智联数据有限公司</x:v>
      </x:c>
      <x:c r="D7" s="46" t="str">
        <x:v>信息技术</x:v>
      </x:c>
      <x:c r="E7" s="46" t="str">
        <x:v>数据服务</x:v>
      </x:c>
      <x:c r="F7" s="46" t="str">
        <x:v>数据分析服务</x:v>
      </x:c>
      <x:c r="G7" s="52" t="n">
        <x:v>440000</x:v>
      </x:c>
      <x:c r="H7" s="55" t="n">
        <x:v>0.06</x:v>
      </x:c>
      <x:c r="I7" s="52" t="n">
        <x:f>ROUND(G7*H7,2)</x:f>
        <x:v>26400</x:v>
      </x:c>
      <x:c r="J7" s="46" t="n">
        <x:f>COUNTIFS('开票事件日志'!$C$2:$C$76,C7,'开票事件日志'!$B$2:$B$76,"&gt;="&amp;B7-30,'开票事件日志'!$B$2:$B$76,"&lt;"&amp;B7)</x:f>
        <x:v>4</x:v>
      </x:c>
      <x:c r="K7" s="46" t="str">
        <x:v>技术服务供应商</x:v>
      </x:c>
    </x:row>
    <x:row r="8" ht="22" customHeight="1">
      <x:c r="A8" s="46" t="str">
        <x:v>TEST007</x:v>
      </x:c>
      <x:c r="B8" s="49" t="n">
        <x:v>46249</x:v>
      </x:c>
      <x:c r="C8" s="46" t="str">
        <x:v>深圳云创设备有限公司</x:v>
      </x:c>
      <x:c r="D8" s="46" t="str">
        <x:v>制造业</x:v>
      </x:c>
      <x:c r="E8" s="46" t="str">
        <x:v>服务器设备</x:v>
      </x:c>
      <x:c r="F8" s="46" t="str">
        <x:v>服务器采购</x:v>
      </x:c>
      <x:c r="G8" s="52" t="n">
        <x:v>340184</x:v>
      </x:c>
      <x:c r="H8" s="55" t="n">
        <x:v>0.06</x:v>
      </x:c>
      <x:c r="I8" s="52" t="n">
        <x:f>ROUND(G8*H8,2)</x:f>
        <x:v>20411.04</x:v>
      </x:c>
      <x:c r="J8" s="46" t="n">
        <x:f>COUNTIFS('开票事件日志'!$C$2:$C$76,C8,'开票事件日志'!$B$2:$B$76,"&gt;="&amp;B8-30,'开票事件日志'!$B$2:$B$76,"&lt;"&amp;B8)</x:f>
        <x:v>4</x:v>
      </x:c>
      <x:c r="K8" s="46" t="str">
        <x:v>大型设备供应商</x:v>
      </x:c>
    </x:row>
    <x:row r="9" ht="22" customHeight="1">
      <x:c r="A9" s="46" t="str">
        <x:v>TEST008</x:v>
      </x:c>
      <x:c r="B9" s="49" t="n">
        <x:v>46255</x:v>
      </x:c>
      <x:c r="C9" s="46" t="str">
        <x:v>广州恒远贸易有限公司</x:v>
      </x:c>
      <x:c r="D9" s="46" t="str">
        <x:v>贸易</x:v>
      </x:c>
      <x:c r="E9" s="46" t="str">
        <x:v>办公用品</x:v>
      </x:c>
      <x:c r="F9" s="46" t="str">
        <x:v>办公耗材</x:v>
      </x:c>
      <x:c r="G9" s="52" t="n">
        <x:v>90000</x:v>
      </x:c>
      <x:c r="H9" s="55" t="n">
        <x:v>0.06</x:v>
      </x:c>
      <x:c r="I9" s="52" t="n">
        <x:f>ROUND(G9*H9,2)</x:f>
        <x:v>5400</x:v>
      </x:c>
      <x:c r="J9" s="46" t="n">
        <x:f>COUNTIFS('开票事件日志'!$C$2:$C$76,C9,'开票事件日志'!$B$2:$B$76,"&gt;="&amp;B9-30,'开票事件日志'!$B$2:$B$76,"&lt;"&amp;B9)</x:f>
        <x:v>3</x:v>
      </x:c>
      <x:c r="K9" s="46" t="str">
        <x:v>高频供应商</x:v>
      </x:c>
    </x:row>
    <x:row r="10" ht="22" customHeight="1">
      <x:c r="A10" s="46" t="str">
        <x:v>TEST009</x:v>
      </x:c>
      <x:c r="B10" s="49" t="n">
        <x:v>46260</x:v>
      </x:c>
      <x:c r="C10" s="46" t="str">
        <x:v>杭州云启网络有限公司</x:v>
      </x:c>
      <x:c r="D10" s="46" t="str">
        <x:v>信息技术</x:v>
      </x:c>
      <x:c r="E10" s="46" t="str">
        <x:v>云服务</x:v>
      </x:c>
      <x:c r="F10" s="46" t="str">
        <x:v>云资源服务</x:v>
      </x:c>
      <x:c r="G10" s="52" t="n">
        <x:v>49457</x:v>
      </x:c>
      <x:c r="H10" s="55" t="n">
        <x:v>0.06</x:v>
      </x:c>
      <x:c r="I10" s="52" t="n">
        <x:f>ROUND(G10*H10,2)</x:f>
        <x:v>2967.42</x:v>
      </x:c>
      <x:c r="J10" s="46" t="n">
        <x:f>COUNTIFS('开票事件日志'!$C$2:$C$76,C10,'开票事件日志'!$B$2:$B$76,"&gt;="&amp;B10-30,'开票事件日志'!$B$2:$B$76,"&lt;"&amp;B10)</x:f>
        <x:v>3</x:v>
      </x:c>
      <x:c r="K10" s="46" t="str">
        <x:v>云服务供应商</x:v>
      </x:c>
    </x:row>
    <x:row r="11" ht="22" customHeight="1">
      <x:c r="A11" s="46" t="str">
        <x:v>TEST010</x:v>
      </x:c>
      <x:c r="B11" s="49" t="n">
        <x:v>46266</x:v>
      </x:c>
      <x:c r="C11" s="46" t="str">
        <x:v>深圳云创设备有限公司</x:v>
      </x:c>
      <x:c r="D11" s="46" t="str">
        <x:v>制造业</x:v>
      </x:c>
      <x:c r="E11" s="46" t="str">
        <x:v>服务器设备</x:v>
      </x:c>
      <x:c r="F11" s="46" t="str">
        <x:v>服务器采购</x:v>
      </x:c>
      <x:c r="G11" s="52" t="n">
        <x:v>2700000</x:v>
      </x:c>
      <x:c r="H11" s="55" t="n">
        <x:v>0.06</x:v>
      </x:c>
      <x:c r="I11" s="52" t="n">
        <x:f>ROUND(G11*H11,2)</x:f>
        <x:v>162000</x:v>
      </x:c>
      <x:c r="J11" s="46" t="n">
        <x:f>COUNTIFS('开票事件日志'!$C$2:$C$76,C11,'开票事件日志'!$B$2:$B$76,"&gt;="&amp;B11-30,'开票事件日志'!$B$2:$B$76,"&lt;"&amp;B11)</x:f>
        <x:v>15</x:v>
      </x:c>
      <x:c r="K11" s="46" t="str">
        <x:v>大型设备供应商</x:v>
      </x:c>
    </x:row>
    <x:row r="12" ht="22" customHeight="1">
      <x:c r="A12" s="46" t="str">
        <x:v>TEST011</x:v>
      </x:c>
      <x:c r="B12" s="49" t="n">
        <x:v>46271</x:v>
      </x:c>
      <x:c r="C12" s="46" t="str">
        <x:v>上海智联数据有限公司</x:v>
      </x:c>
      <x:c r="D12" s="46" t="str">
        <x:v>信息技术</x:v>
      </x:c>
      <x:c r="E12" s="46" t="str">
        <x:v>数据服务</x:v>
      </x:c>
      <x:c r="F12" s="46" t="str">
        <x:v>数据分析服务</x:v>
      </x:c>
      <x:c r="G12" s="52" t="n">
        <x:v>64496</x:v>
      </x:c>
      <x:c r="H12" s="55" t="n">
        <x:v>0.06</x:v>
      </x:c>
      <x:c r="I12" s="52" t="n">
        <x:f>ROUND(G12*H12,2)</x:f>
        <x:v>3869.76</x:v>
      </x:c>
      <x:c r="J12" s="46" t="n">
        <x:f>COUNTIFS('开票事件日志'!$C$2:$C$76,C12,'开票事件日志'!$B$2:$B$76,"&gt;="&amp;B12-30,'开票事件日志'!$B$2:$B$76,"&lt;"&amp;B12)</x:f>
        <x:v>2</x:v>
      </x:c>
      <x:c r="K12" s="46" t="str">
        <x:v>技术服务供应商</x:v>
      </x:c>
    </x:row>
    <x:row r="13" ht="22" customHeight="1">
      <x:c r="A13" s="47" t="str">
        <x:v>TEST012</x:v>
      </x:c>
      <x:c r="B13" s="50" t="n">
        <x:v>46277</x:v>
      </x:c>
      <x:c r="C13" s="47" t="str">
        <x:v>合肥创新人工智能有限公司</x:v>
      </x:c>
      <x:c r="D13" s="47" t="str">
        <x:v>人工智能</x:v>
      </x:c>
      <x:c r="E13" s="47" t="str">
        <x:v>AI服务</x:v>
      </x:c>
      <x:c r="F13" s="47" t="str">
        <x:v>算法模型开发</x:v>
      </x:c>
      <x:c r="G13" s="53" t="n">
        <x:v>472017.6</x:v>
      </x:c>
      <x:c r="H13" s="56" t="n">
        <x:v>0.06</x:v>
      </x:c>
      <x:c r="I13" s="53" t="n">
        <x:f>ROUND(G13*H13,2)</x:f>
        <x:v>28321.06</x:v>
      </x:c>
      <x:c r="J13" s="47" t="n">
        <x:f>COUNTIFS('开票事件日志'!$C$2:$C$76,C13,'开票事件日志'!$B$2:$B$76,"&gt;="&amp;B13-30,'开票事件日志'!$B$2:$B$76,"&lt;"&amp;B13)</x:f>
        <x:v>13</x:v>
      </x:c>
      <x:c r="K13" s="47" t="str">
        <x:v>高价值供应商</x:v>
      </x:c>
    </x:row>
  </x:sheetData>
  <x:pageMargins left="0.7" right="0.7" top="0.75" bottom="0.75" header="0.3" footer="0.3"/>
  <x:tableParts count="1">
    <x:tablePart xmlns:r="http://schemas.openxmlformats.org/officeDocument/2006/relationships" r:id="Red20ffc1498840ab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12" hidden="0" customWidth="1"/>
    <x:col min="3" max="3" width="24" hidden="0" customWidth="1"/>
    <x:col min="4" max="4" width="82" hidden="0" customWidth="1"/>
    <x:col min="5" max="5" width="18" hidden="0" customWidth="1"/>
    <x:col min="6" max="6" width="24" hidden="0" customWidth="1"/>
  </x:cols>
  <x:sheetData>
    <x:row r="1" ht="30" customHeight="1">
      <x:c r="A1" s="38" t="str">
        <x:v>invoice_id</x:v>
      </x:c>
      <x:c r="B1" s="39" t="str">
        <x:v>risk_label</x:v>
      </x:c>
      <x:c r="C1" s="39" t="str">
        <x:v>risk_type</x:v>
      </x:c>
      <x:c r="D1" s="39" t="str">
        <x:v>risk_reason</x:v>
      </x:c>
      <x:c r="E1" s="39" t="str">
        <x:v>requires_review</x:v>
      </x:c>
      <x:c r="F1" s="40" t="str">
        <x:v>triggered_rules</x:v>
      </x:c>
    </x:row>
    <x:row r="2" ht="42" customHeight="1">
      <x:c r="A2" s="45" t="str">
        <x:v>TEST001</x:v>
      </x:c>
      <x:c r="B2" s="45" t="str">
        <x:v>正常</x:v>
      </x:c>
      <x:c r="C2" s="45" t="str">
        <x:v>正常</x:v>
      </x:c>
      <x:c r="D2" s="65" t="str">
        <x:v>金额位于该供应商历史范围内，近30天发票数为2，未达到频率阈值。</x:v>
      </x:c>
      <x:c r="E2" s="62" t="b">
        <x:v>0</x:v>
      </x:c>
      <x:c r="F2" s="45" t="str"/>
    </x:row>
    <x:row r="3" ht="42" customHeight="1">
      <x:c r="A3" s="46" t="str">
        <x:v>TEST002</x:v>
      </x:c>
      <x:c r="B3" s="46" t="str">
        <x:v>异常</x:v>
      </x:c>
      <x:c r="C3" s="46" t="str">
        <x:v>金额异常+频率异常</x:v>
      </x:c>
      <x:c r="D3" s="66" t="str">
        <x:v>当前金额500,000元高于历史最高金额101,456元，同时近30天发票数为14，达到频率预警阈值10。</x:v>
      </x:c>
      <x:c r="E3" s="63" t="b">
        <x:v>1</x:v>
      </x:c>
      <x:c r="F3" s="46" t="str">
        <x:v>R003,R006,R007</x:v>
      </x:c>
    </x:row>
    <x:row r="4" ht="42" customHeight="1">
      <x:c r="A4" s="46" t="str">
        <x:v>TEST003</x:v>
      </x:c>
      <x:c r="B4" s="46" t="str">
        <x:v>正常</x:v>
      </x:c>
      <x:c r="C4" s="46" t="str">
        <x:v>正常</x:v>
      </x:c>
      <x:c r="D4" s="66" t="str">
        <x:v>金额位于该供应商历史范围内，近30天发票数为5，未达到频率阈值。</x:v>
      </x:c>
      <x:c r="E4" s="63" t="b">
        <x:v>0</x:v>
      </x:c>
      <x:c r="F4" s="46" t="str"/>
    </x:row>
    <x:row r="5" ht="42" customHeight="1">
      <x:c r="A5" s="46" t="str">
        <x:v>TEST004</x:v>
      </x:c>
      <x:c r="B5" s="46" t="str">
        <x:v>正常</x:v>
      </x:c>
      <x:c r="C5" s="46" t="str">
        <x:v>正常</x:v>
      </x:c>
      <x:c r="D5" s="66" t="str">
        <x:v>金额位于该供应商历史范围内，近30天发票数为4，未达到频率阈值。</x:v>
      </x:c>
      <x:c r="E5" s="63" t="b">
        <x:v>0</x:v>
      </x:c>
      <x:c r="F5" s="46" t="str"/>
    </x:row>
    <x:row r="6" ht="42" customHeight="1">
      <x:c r="A6" s="46" t="str">
        <x:v>TEST005</x:v>
      </x:c>
      <x:c r="B6" s="46" t="str">
        <x:v>异常</x:v>
      </x:c>
      <x:c r="C6" s="46" t="str">
        <x:v>频率异常</x:v>
      </x:c>
      <x:c r="D6" s="66" t="str">
        <x:v>当前金额仍在历史合理范围内，但该供应商近30天发票数为12，达到频率预警阈值10。</x:v>
      </x:c>
      <x:c r="E6" s="63" t="b">
        <x:v>1</x:v>
      </x:c>
      <x:c r="F6" s="46" t="str">
        <x:v>R007</x:v>
      </x:c>
    </x:row>
    <x:row r="7" ht="42" customHeight="1">
      <x:c r="A7" s="46" t="str">
        <x:v>TEST006</x:v>
      </x:c>
      <x:c r="B7" s="46" t="str">
        <x:v>异常</x:v>
      </x:c>
      <x:c r="C7" s="46" t="str">
        <x:v>金额异常</x:v>
      </x:c>
      <x:c r="D7" s="66" t="str">
        <x:v>当前金额440,000元，高于历史最高金额104,067元，且显著偏离历史平均金额79,535.14元。</x:v>
      </x:c>
      <x:c r="E7" s="63" t="b">
        <x:v>1</x:v>
      </x:c>
      <x:c r="F7" s="46" t="str">
        <x:v>R003,R006</x:v>
      </x:c>
    </x:row>
    <x:row r="8" ht="42" customHeight="1">
      <x:c r="A8" s="46" t="str">
        <x:v>TEST007</x:v>
      </x:c>
      <x:c r="B8" s="46" t="str">
        <x:v>正常</x:v>
      </x:c>
      <x:c r="C8" s="46" t="str">
        <x:v>正常</x:v>
      </x:c>
      <x:c r="D8" s="66" t="str">
        <x:v>金额位于该供应商历史范围内，近30天发票数为4，未达到频率阈值。</x:v>
      </x:c>
      <x:c r="E8" s="63" t="b">
        <x:v>0</x:v>
      </x:c>
      <x:c r="F8" s="46" t="str"/>
    </x:row>
    <x:row r="9" ht="42" customHeight="1">
      <x:c r="A9" s="46" t="str">
        <x:v>TEST008</x:v>
      </x:c>
      <x:c r="B9" s="46" t="str">
        <x:v>异常</x:v>
      </x:c>
      <x:c r="C9" s="46" t="str">
        <x:v>金额异常</x:v>
      </x:c>
      <x:c r="D9" s="66" t="str">
        <x:v>当前金额90,000元，高于历史最高金额17,041元，且显著偏离历史平均金额11,653.29元。</x:v>
      </x:c>
      <x:c r="E9" s="63" t="b">
        <x:v>1</x:v>
      </x:c>
      <x:c r="F9" s="46" t="str">
        <x:v>R003,R006</x:v>
      </x:c>
    </x:row>
    <x:row r="10" ht="42" customHeight="1">
      <x:c r="A10" s="46" t="str">
        <x:v>TEST009</x:v>
      </x:c>
      <x:c r="B10" s="46" t="str">
        <x:v>正常</x:v>
      </x:c>
      <x:c r="C10" s="46" t="str">
        <x:v>正常</x:v>
      </x:c>
      <x:c r="D10" s="66" t="str">
        <x:v>金额位于该供应商历史范围内，近30天发票数为3，未达到频率阈值。</x:v>
      </x:c>
      <x:c r="E10" s="63" t="b">
        <x:v>0</x:v>
      </x:c>
      <x:c r="F10" s="46" t="str"/>
    </x:row>
    <x:row r="11" ht="42" customHeight="1">
      <x:c r="A11" s="46" t="str">
        <x:v>TEST010</x:v>
      </x:c>
      <x:c r="B11" s="46" t="str">
        <x:v>异常</x:v>
      </x:c>
      <x:c r="C11" s="46" t="str">
        <x:v>金额异常+频率异常</x:v>
      </x:c>
      <x:c r="D11" s="66" t="str">
        <x:v>当前金额2,700,000元高于历史最高金额577,291元，同时近30天发票数为15，达到频率预警阈值10。</x:v>
      </x:c>
      <x:c r="E11" s="63" t="b">
        <x:v>1</x:v>
      </x:c>
      <x:c r="F11" s="46" t="str">
        <x:v>R001,R003,R006,R007</x:v>
      </x:c>
    </x:row>
    <x:row r="12" ht="42" customHeight="1">
      <x:c r="A12" s="46" t="str">
        <x:v>TEST011</x:v>
      </x:c>
      <x:c r="B12" s="46" t="str">
        <x:v>正常</x:v>
      </x:c>
      <x:c r="C12" s="46" t="str">
        <x:v>正常</x:v>
      </x:c>
      <x:c r="D12" s="66" t="str">
        <x:v>金额位于该供应商历史范围内，近30天发票数为2，未达到频率阈值。</x:v>
      </x:c>
      <x:c r="E12" s="63" t="b">
        <x:v>0</x:v>
      </x:c>
      <x:c r="F12" s="46" t="str"/>
    </x:row>
    <x:row r="13" ht="42" customHeight="1">
      <x:c r="A13" s="47" t="str">
        <x:v>TEST012</x:v>
      </x:c>
      <x:c r="B13" s="47" t="str">
        <x:v>异常</x:v>
      </x:c>
      <x:c r="C13" s="47" t="str">
        <x:v>频率异常</x:v>
      </x:c>
      <x:c r="D13" s="67" t="str">
        <x:v>当前金额仍在历史合理范围内，但该供应商近30天发票数为13，达到频率预警阈值10。</x:v>
      </x:c>
      <x:c r="E13" s="64" t="b">
        <x:v>1</x:v>
      </x:c>
      <x:c r="F13" s="47" t="str">
        <x:v>R007</x:v>
      </x:c>
    </x:row>
  </x:sheetData>
  <x:conditionalFormatting sqref="B2:B13">
    <x:cfRule type="containsText" dxfId="0" priority="1" operator="containsText" text="异常"/>
    <x:cfRule type="containsText" dxfId="1" priority="2" operator="containsText" text="正常"/>
  </x:conditionalFormatting>
  <x:pageMargins left="0.7" right="0.7" top="0.75" bottom="0.75" header="0.3" footer="0.3"/>
  <x:tableParts count="1">
    <x:tablePart xmlns:r="http://schemas.openxmlformats.org/officeDocument/2006/relationships" r:id="R974c39cb7e334ba9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20" hidden="0" customWidth="1"/>
    <x:col min="3" max="3" width="27" hidden="0" customWidth="1"/>
    <x:col min="4" max="4" width="19" hidden="0" customWidth="1"/>
    <x:col min="5" max="5" width="18" hidden="0" customWidth="1"/>
    <x:col min="6" max="6" width="18" hidden="0" customWidth="1"/>
    <x:col min="7" max="7" width="18" hidden="0" customWidth="1"/>
    <x:col min="8" max="8" width="28" hidden="0" customWidth="1"/>
  </x:cols>
  <x:sheetData>
    <x:row r="1" ht="30" customHeight="1">
      <x:c r="A1" s="38" t="str">
        <x:v>supplier_name</x:v>
      </x:c>
      <x:c r="B1" s="39" t="str">
        <x:v>product_category</x:v>
      </x:c>
      <x:c r="C1" s="39" t="str">
        <x:v>product_name</x:v>
      </x:c>
      <x:c r="D1" s="39" t="str">
        <x:v>transaction_count</x:v>
      </x:c>
      <x:c r="E1" s="39" t="str">
        <x:v>average_amount</x:v>
      </x:c>
      <x:c r="F1" s="39" t="str">
        <x:v>minimum_amount</x:v>
      </x:c>
      <x:c r="G1" s="39" t="str">
        <x:v>maximum_amount</x:v>
      </x:c>
      <x:c r="H1" s="40" t="str">
        <x:v>supplier_profile</x:v>
      </x:c>
    </x:row>
    <x:row r="2" ht="22" customHeight="1">
      <x:c r="A2" s="45" t="str">
        <x:v>北京华信科技有限公司</x:v>
      </x:c>
      <x:c r="B2" s="45" t="str">
        <x:v>软件服务</x:v>
      </x:c>
      <x:c r="C2" s="45" t="str">
        <x:v>企业软件授权服务</x:v>
      </x:c>
      <x:c r="D2" s="68" t="n">
        <x:f>COUNTIFS('历史交易明细'!$C$2:$C$43,A2,'历史交易明细'!$E$2:$E$43,B2,'历史交易明细'!$F$2:$F$43,C2)</x:f>
        <x:v>7</x:v>
      </x:c>
      <x:c r="E2" s="51" t="n">
        <x:f>ROUND(AVERAGEIFS('历史交易明细'!$G$2:$G$43,'历史交易明细'!$C$2:$C$43,A2,'历史交易明细'!$E$2:$E$43,B2,'历史交易明细'!$F$2:$F$43,C2),2)</x:f>
        <x:v>47287.86</x:v>
      </x:c>
      <x:c r="F2" s="51" t="n">
        <x:f>MINIFS('历史交易明细'!$G$2:$G$43,'历史交易明细'!$C$2:$C$43,A2,'历史交易明细'!$E$2:$E$43,B2,'历史交易明细'!$F$2:$F$43,C2)</x:f>
        <x:v>26227</x:v>
      </x:c>
      <x:c r="G2" s="51" t="n">
        <x:f>MAXIFS('历史交易明细'!$G$2:$G$43,'历史交易明细'!$C$2:$C$43,A2,'历史交易明细'!$E$2:$E$43,B2,'历史交易明细'!$F$2:$F$43,C2)</x:f>
        <x:v>66913</x:v>
      </x:c>
      <x:c r="H2" s="45" t="str">
        <x:v>长期合作供应商</x:v>
      </x:c>
    </x:row>
    <x:row r="3" ht="22" customHeight="1">
      <x:c r="A3" s="46" t="str">
        <x:v>广州恒远贸易有限公司</x:v>
      </x:c>
      <x:c r="B3" s="46" t="str">
        <x:v>办公用品</x:v>
      </x:c>
      <x:c r="C3" s="46" t="str">
        <x:v>办公耗材</x:v>
      </x:c>
      <x:c r="D3" s="69" t="n">
        <x:f>COUNTIFS('历史交易明细'!$C$2:$C$43,A3,'历史交易明细'!$E$2:$E$43,B3,'历史交易明细'!$F$2:$F$43,C3)</x:f>
        <x:v>7</x:v>
      </x:c>
      <x:c r="E3" s="52" t="n">
        <x:f>ROUND(AVERAGEIFS('历史交易明细'!$G$2:$G$43,'历史交易明细'!$C$2:$C$43,A3,'历史交易明细'!$E$2:$E$43,B3,'历史交易明细'!$F$2:$F$43,C3),2)</x:f>
        <x:v>11653.29</x:v>
      </x:c>
      <x:c r="F3" s="52" t="n">
        <x:f>MINIFS('历史交易明细'!$G$2:$G$43,'历史交易明细'!$C$2:$C$43,A3,'历史交易明细'!$E$2:$E$43,B3,'历史交易明细'!$F$2:$F$43,C3)</x:f>
        <x:v>6914</x:v>
      </x:c>
      <x:c r="G3" s="52" t="n">
        <x:f>MAXIFS('历史交易明细'!$G$2:$G$43,'历史交易明细'!$C$2:$C$43,A3,'历史交易明细'!$E$2:$E$43,B3,'历史交易明细'!$F$2:$F$43,C3)</x:f>
        <x:v>17041</x:v>
      </x:c>
      <x:c r="H3" s="46" t="str">
        <x:v>高频供应商</x:v>
      </x:c>
    </x:row>
    <x:row r="4" ht="22" customHeight="1">
      <x:c r="A4" s="46" t="str">
        <x:v>杭州云启网络有限公司</x:v>
      </x:c>
      <x:c r="B4" s="46" t="str">
        <x:v>云服务</x:v>
      </x:c>
      <x:c r="C4" s="46" t="str">
        <x:v>云资源服务</x:v>
      </x:c>
      <x:c r="D4" s="69" t="n">
        <x:f>COUNTIFS('历史交易明细'!$C$2:$C$43,A4,'历史交易明细'!$E$2:$E$43,B4,'历史交易明细'!$F$2:$F$43,C4)</x:f>
        <x:v>7</x:v>
      </x:c>
      <x:c r="E4" s="52" t="n">
        <x:f>ROUND(AVERAGEIFS('历史交易明细'!$G$2:$G$43,'历史交易明细'!$C$2:$C$43,A4,'历史交易明细'!$E$2:$E$43,B4,'历史交易明细'!$F$2:$F$43,C4),2)</x:f>
        <x:v>76492.43</x:v>
      </x:c>
      <x:c r="F4" s="52" t="n">
        <x:f>MINIFS('历史交易明细'!$G$2:$G$43,'历史交易明细'!$C$2:$C$43,A4,'历史交易明细'!$E$2:$E$43,B4,'历史交易明细'!$F$2:$F$43,C4)</x:f>
        <x:v>49175</x:v>
      </x:c>
      <x:c r="G4" s="52" t="n">
        <x:f>MAXIFS('历史交易明细'!$G$2:$G$43,'历史交易明细'!$C$2:$C$43,A4,'历史交易明细'!$E$2:$E$43,B4,'历史交易明细'!$F$2:$F$43,C4)</x:f>
        <x:v>101456</x:v>
      </x:c>
      <x:c r="H4" s="46" t="str">
        <x:v>云服务供应商</x:v>
      </x:c>
    </x:row>
    <x:row r="5" ht="22" customHeight="1">
      <x:c r="A5" s="46" t="str">
        <x:v>合肥创新人工智能有限公司</x:v>
      </x:c>
      <x:c r="B5" s="46" t="str">
        <x:v>AI服务</x:v>
      </x:c>
      <x:c r="C5" s="46" t="str">
        <x:v>算法模型开发</x:v>
      </x:c>
      <x:c r="D5" s="69" t="n">
        <x:f>COUNTIFS('历史交易明细'!$C$2:$C$43,A5,'历史交易明细'!$E$2:$E$43,B5,'历史交易明细'!$F$2:$F$43,C5)</x:f>
        <x:v>7</x:v>
      </x:c>
      <x:c r="E5" s="52" t="n">
        <x:f>ROUND(AVERAGEIFS('历史交易明细'!$G$2:$G$43,'历史交易明细'!$C$2:$C$43,A5,'历史交易明细'!$E$2:$E$43,B5,'历史交易明细'!$F$2:$F$43,C5),2)</x:f>
        <x:v>424935.29</x:v>
      </x:c>
      <x:c r="F5" s="52" t="n">
        <x:f>MINIFS('历史交易明细'!$G$2:$G$43,'历史交易明细'!$C$2:$C$43,A5,'历史交易明细'!$E$2:$E$43,B5,'历史交易明细'!$F$2:$F$43,C5)</x:f>
        <x:v>325136</x:v>
      </x:c>
      <x:c r="G5" s="52" t="n">
        <x:f>MAXIFS('历史交易明细'!$G$2:$G$43,'历史交易明细'!$C$2:$C$43,A5,'历史交易明细'!$E$2:$E$43,B5,'历史交易明细'!$F$2:$F$43,C5)</x:f>
        <x:v>524464</x:v>
      </x:c>
      <x:c r="H5" s="46" t="str">
        <x:v>高价值供应商</x:v>
      </x:c>
    </x:row>
    <x:row r="6" ht="22" customHeight="1">
      <x:c r="A6" s="46" t="str">
        <x:v>上海智联数据有限公司</x:v>
      </x:c>
      <x:c r="B6" s="46" t="str">
        <x:v>数据服务</x:v>
      </x:c>
      <x:c r="C6" s="46" t="str">
        <x:v>数据分析服务</x:v>
      </x:c>
      <x:c r="D6" s="69" t="n">
        <x:f>COUNTIFS('历史交易明细'!$C$2:$C$43,A6,'历史交易明细'!$E$2:$E$43,B6,'历史交易明细'!$F$2:$F$43,C6)</x:f>
        <x:v>7</x:v>
      </x:c>
      <x:c r="E6" s="52" t="n">
        <x:f>ROUND(AVERAGEIFS('历史交易明细'!$G$2:$G$43,'历史交易明细'!$C$2:$C$43,A6,'历史交易明细'!$E$2:$E$43,B6,'历史交易明细'!$F$2:$F$43,C6),2)</x:f>
        <x:v>79535.14</x:v>
      </x:c>
      <x:c r="F6" s="52" t="n">
        <x:f>MINIFS('历史交易明细'!$G$2:$G$43,'历史交易明细'!$C$2:$C$43,A6,'历史交易明细'!$E$2:$E$43,B6,'历史交易明细'!$F$2:$F$43,C6)</x:f>
        <x:v>58040</x:v>
      </x:c>
      <x:c r="G6" s="52" t="n">
        <x:f>MAXIFS('历史交易明细'!$G$2:$G$43,'历史交易明细'!$C$2:$C$43,A6,'历史交易明细'!$E$2:$E$43,B6,'历史交易明细'!$F$2:$F$43,C6)</x:f>
        <x:v>104067</x:v>
      </x:c>
      <x:c r="H6" s="46" t="str">
        <x:v>技术服务供应商</x:v>
      </x:c>
    </x:row>
    <x:row r="7" ht="22" customHeight="1">
      <x:c r="A7" s="47" t="str">
        <x:v>深圳云创设备有限公司</x:v>
      </x:c>
      <x:c r="B7" s="47" t="str">
        <x:v>服务器设备</x:v>
      </x:c>
      <x:c r="C7" s="47" t="str">
        <x:v>服务器采购</x:v>
      </x:c>
      <x:c r="D7" s="70" t="n">
        <x:f>COUNTIFS('历史交易明细'!$C$2:$C$43,A7,'历史交易明细'!$E$2:$E$43,B7,'历史交易明细'!$F$2:$F$43,C7)</x:f>
        <x:v>7</x:v>
      </x:c>
      <x:c r="E7" s="53" t="n">
        <x:f>ROUND(AVERAGEIFS('历史交易明细'!$G$2:$G$43,'历史交易明细'!$C$2:$C$43,A7,'历史交易明细'!$E$2:$E$43,B7,'历史交易明细'!$F$2:$F$43,C7),2)</x:f>
        <x:v>393471.57</x:v>
      </x:c>
      <x:c r="F7" s="53" t="n">
        <x:f>MINIFS('历史交易明细'!$G$2:$G$43,'历史交易明细'!$C$2:$C$43,A7,'历史交易明细'!$E$2:$E$43,B7,'历史交易明细'!$F$2:$F$43,C7)</x:f>
        <x:v>214767</x:v>
      </x:c>
      <x:c r="G7" s="53" t="n">
        <x:f>MAXIFS('历史交易明细'!$G$2:$G$43,'历史交易明细'!$C$2:$C$43,A7,'历史交易明细'!$E$2:$E$43,B7,'历史交易明细'!$F$2:$F$43,C7)</x:f>
        <x:v>577291</x:v>
      </x:c>
      <x:c r="H7" s="47" t="str">
        <x:v>大型设备供应商</x:v>
      </x:c>
    </x:row>
  </x:sheetData>
  <x:pageMargins left="0.7" right="0.7" top="0.75" bottom="0.75" header="0.3" footer="0.3"/>
  <x:tableParts count="1">
    <x:tablePart xmlns:r="http://schemas.openxmlformats.org/officeDocument/2006/relationships" r:id="Rc68995105eb54d8d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22" hidden="0" customWidth="1"/>
    <x:col min="3" max="3" width="44" hidden="0" customWidth="1"/>
    <x:col min="4" max="4" width="54" hidden="0" customWidth="1"/>
  </x:cols>
  <x:sheetData>
    <x:row r="1" ht="30" customHeight="1">
      <x:c r="A1" s="38" t="str">
        <x:v>rule_id</x:v>
      </x:c>
      <x:c r="B1" s="39" t="str">
        <x:v>rule_name</x:v>
      </x:c>
      <x:c r="C1" s="39" t="str">
        <x:v>detection_logic</x:v>
      </x:c>
      <x:c r="D1" s="40" t="str">
        <x:v>result</x:v>
      </x:c>
    </x:row>
    <x:row r="2" ht="34" customHeight="1">
      <x:c r="A2" s="45" t="str">
        <x:v>R001</x:v>
      </x:c>
      <x:c r="B2" s="45" t="str">
        <x:v>大额复核</x:v>
      </x:c>
      <x:c r="C2" s="65" t="str">
        <x:v>invoice_amount &gt; 500000</x:v>
      </x:c>
      <x:c r="D2" s="65" t="str">
        <x:v>requires_review=true；单独触发时不直接判异常</x:v>
      </x:c>
    </x:row>
    <x:row r="3" ht="34" customHeight="1">
      <x:c r="A3" s="46" t="str">
        <x:v>R003</x:v>
      </x:c>
      <x:c r="B3" s="46" t="str">
        <x:v>偏离历史均值</x:v>
      </x:c>
      <x:c r="C3" s="66" t="str">
        <x:v>invoice_amount &gt; 5 × historical_average</x:v>
      </x:c>
      <x:c r="D3" s="66" t="str">
        <x:v>异常：金额显著偏离历史水平</x:v>
      </x:c>
    </x:row>
    <x:row r="4" ht="34" customHeight="1">
      <x:c r="A4" s="46" t="str">
        <x:v>R006</x:v>
      </x:c>
      <x:c r="B4" s="46" t="str">
        <x:v>超过历史最大值</x:v>
      </x:c>
      <x:c r="C4" s="66" t="str">
        <x:v>invoice_amount &gt; historical_maximum</x:v>
      </x:c>
      <x:c r="D4" s="66" t="str">
        <x:v>异常：金额突破历史上限</x:v>
      </x:c>
    </x:row>
    <x:row r="5" ht="34" customHeight="1">
      <x:c r="A5" s="47" t="str">
        <x:v>R007</x:v>
      </x:c>
      <x:c r="B5" s="47" t="str">
        <x:v>短期高频开票</x:v>
      </x:c>
      <x:c r="C5" s="67" t="str">
        <x:v>recent_30d_invoice_count &gt;= 10</x:v>
      </x:c>
      <x:c r="D5" s="67" t="str">
        <x:v>异常：近30天开票频率过高（新增规则）</x:v>
      </x:c>
    </x:row>
  </x:sheetData>
  <x:pageMargins left="0.7" right="0.7" top="0.75" bottom="0.75" header="0.3" footer="0.3"/>
  <x:tableParts count="1">
    <x:tablePart xmlns:r="http://schemas.openxmlformats.org/officeDocument/2006/relationships" r:id="R2ae25bf1d71d40f6"/>
  </x:tableParts>
</x:worksheet>
</file>